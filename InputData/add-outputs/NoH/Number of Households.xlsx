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LA\add-outputs\NoH\"/>
    </mc:Choice>
  </mc:AlternateContent>
  <xr:revisionPtr revIDLastSave="0" documentId="8_{27285855-9077-4963-B9C0-7DE6C1302512}"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AB2" i="3"/>
  <c r="G2" i="3"/>
  <c r="AC2" i="3"/>
  <c r="V2" i="3"/>
  <c r="D2" i="3"/>
  <c r="Z2" i="3"/>
  <c r="E2" i="3"/>
  <c r="AA2" i="3"/>
  <c r="F2" i="3"/>
  <c r="H2" i="3"/>
  <c r="AD2" i="3"/>
  <c r="X2" i="3"/>
  <c r="I2" i="3"/>
  <c r="AE2" i="3"/>
  <c r="J2" i="3"/>
  <c r="B2" i="3"/>
  <c r="R2" i="3"/>
  <c r="U2" i="3"/>
  <c r="W2" i="3"/>
  <c r="K2" i="3"/>
  <c r="L2" i="3"/>
  <c r="N2" i="3"/>
  <c r="T2" i="3"/>
  <c r="M2" i="3"/>
  <c r="Q2" i="3"/>
  <c r="O2" i="3"/>
  <c r="P2" i="3"/>
  <c r="S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<sst xmlns="http://schemas.openxmlformats.org/spreadsheetml/2006/main" count="1069" uniqueCount="448">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</sst>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360</v>
      </c>
      <c r="C1" s="68">
        <v>46185</v>
      </c>
      <c r="H1" t="s">
        <v>324</v>
      </c>
      <c r="I1" t="s">
        <v>325</v>
      </c>
    </row>
    <row r="2" spans="1:9" x14ac:dyDescent="0.25">
      <c r="B2" t="str">
        <f>VLOOKUP(B1,H2:I52,2)</f>
        <v>LA</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1829314.4338441296</v>
      </c>
      <c r="C2">
        <f>SUMIFS('state calcs'!C62:C112,'state calcs'!$A$62:$A$112,About!$B$2)</f>
        <v>1851623.9828500883</v>
      </c>
      <c r="D2">
        <f>SUMIFS('state calcs'!D62:D112,'state calcs'!$A$62:$A$112,About!$B$2)</f>
        <v>1862899.0961913893</v>
      </c>
      <c r="E2">
        <f>SUMIFS('state calcs'!E62:E112,'state calcs'!$A$62:$A$112,About!$B$2)</f>
        <v>1874155.0849723427</v>
      </c>
      <c r="F2">
        <f>SUMIFS('state calcs'!F62:F112,'state calcs'!$A$62:$A$112,About!$B$2)</f>
        <v>1885751.7586382418</v>
      </c>
      <c r="G2">
        <f>SUMIFS('state calcs'!G62:G112,'state calcs'!$A$62:$A$112,About!$B$2)</f>
        <v>1897248.3115203467</v>
      </c>
      <c r="H2">
        <f>SUMIFS('state calcs'!H62:H112,'state calcs'!$A$62:$A$112,About!$B$2)</f>
        <v>1908781.1945876714</v>
      </c>
      <c r="I2">
        <f>SUMIFS('state calcs'!I62:I112,'state calcs'!$A$62:$A$112,About!$B$2)</f>
        <v>1920385.424032999</v>
      </c>
      <c r="J2">
        <f>SUMIFS('state calcs'!J62:J112,'state calcs'!$A$62:$A$112,About!$B$2)</f>
        <v>1931805.502317674</v>
      </c>
      <c r="K2">
        <f>SUMIFS('state calcs'!K62:K112,'state calcs'!$A$62:$A$112,About!$B$2)</f>
        <v>1942734.5265572856</v>
      </c>
      <c r="L2">
        <f>SUMIFS('state calcs'!L62:L112,'state calcs'!$A$62:$A$112,About!$B$2)</f>
        <v>1950193.7550905596</v>
      </c>
      <c r="M2">
        <f>SUMIFS('state calcs'!M62:M112,'state calcs'!$A$62:$A$112,About!$B$2)</f>
        <v>1957439.2269482317</v>
      </c>
      <c r="N2">
        <f>SUMIFS('state calcs'!N62:N112,'state calcs'!$A$62:$A$112,About!$B$2)</f>
        <v>1964240.9614120747</v>
      </c>
      <c r="O2">
        <f>SUMIFS('state calcs'!O62:O112,'state calcs'!$A$62:$A$112,About!$B$2)</f>
        <v>1970461.7536756976</v>
      </c>
      <c r="P2">
        <f>SUMIFS('state calcs'!P62:P112,'state calcs'!$A$62:$A$112,About!$B$2)</f>
        <v>1976392.4848429845</v>
      </c>
      <c r="Q2">
        <f>SUMIFS('state calcs'!Q62:Q112,'state calcs'!$A$62:$A$112,About!$B$2)</f>
        <v>1982265.5248321143</v>
      </c>
      <c r="R2">
        <f>SUMIFS('state calcs'!R62:R112,'state calcs'!$A$62:$A$112,About!$B$2)</f>
        <v>1987964.2634399277</v>
      </c>
      <c r="S2">
        <f>SUMIFS('state calcs'!S62:S112,'state calcs'!$A$62:$A$112,About!$B$2)</f>
        <v>1993523.7789282447</v>
      </c>
      <c r="T2">
        <f>SUMIFS('state calcs'!T62:T112,'state calcs'!$A$62:$A$112,About!$B$2)</f>
        <v>1998900.4422273058</v>
      </c>
      <c r="U2">
        <f>SUMIFS('state calcs'!U62:U112,'state calcs'!$A$62:$A$112,About!$B$2)</f>
        <v>2004367.6125696218</v>
      </c>
      <c r="V2">
        <f>SUMIFS('state calcs'!V62:V112,'state calcs'!$A$62:$A$112,About!$B$2)</f>
        <v>2009204.423017828</v>
      </c>
      <c r="W2">
        <f>SUMIFS('state calcs'!W62:W112,'state calcs'!$A$62:$A$112,About!$B$2)</f>
        <v>2013727.9984902726</v>
      </c>
      <c r="X2">
        <f>SUMIFS('state calcs'!X62:X112,'state calcs'!$A$62:$A$112,About!$B$2)</f>
        <v>2018050.3534374109</v>
      </c>
      <c r="Y2">
        <f>SUMIFS('state calcs'!Y62:Y112,'state calcs'!$A$62:$A$112,About!$B$2)</f>
        <v>2022184.1581864604</v>
      </c>
      <c r="Z2">
        <f>SUMIFS('state calcs'!Z62:Z112,'state calcs'!$A$62:$A$112,About!$B$2)</f>
        <v>2026145.9732158314</v>
      </c>
      <c r="AA2">
        <f>SUMIFS('state calcs'!AA62:AA112,'state calcs'!$A$62:$A$112,About!$B$2)</f>
        <v>2029887.0708915254</v>
      </c>
      <c r="AB2">
        <f>SUMIFS('state calcs'!AB62:AB112,'state calcs'!$A$62:$A$112,About!$B$2)</f>
        <v>2033495.3526735457</v>
      </c>
      <c r="AC2">
        <f>SUMIFS('state calcs'!AC62:AC112,'state calcs'!$A$62:$A$112,About!$B$2)</f>
        <v>2036877.3412252693</v>
      </c>
      <c r="AD2">
        <f>SUMIFS('state calcs'!AD62:AD112,'state calcs'!$A$62:$A$112,About!$B$2)</f>
        <v>2040021.8340704322</v>
      </c>
      <c r="AE2">
        <f>SUMIFS('state calcs'!AE62:AE112,'state calcs'!$A$62:$A$112,About!$B$2)</f>
        <v>2042971.7032548978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2026-06-12T19:28:42Z</dcterms:modified>
</cp:coreProperties>
</file>