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A3A4F9D6-67D9-42A5-83CE-66152A01E15C}"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N43" i="9" s="1"/>
  <c r="M23" i="9"/>
  <c r="L23" i="9"/>
  <c r="K23" i="9"/>
  <c r="J23" i="9"/>
  <c r="I23" i="9"/>
  <c r="H23" i="9"/>
  <c r="G23" i="9"/>
  <c r="F23" i="9"/>
  <c r="E23" i="9"/>
  <c r="D23" i="9"/>
  <c r="C23" i="9"/>
  <c r="B23" i="9"/>
  <c r="AB22" i="9"/>
  <c r="AA22" i="9"/>
  <c r="Z22" i="9"/>
  <c r="Y22" i="9"/>
  <c r="X22" i="9"/>
  <c r="W22" i="9"/>
  <c r="V22" i="9"/>
  <c r="U22" i="9"/>
  <c r="U42" i="9" s="1"/>
  <c r="T22" i="9"/>
  <c r="T42" i="9" s="1"/>
  <c r="S22" i="9"/>
  <c r="S42" i="9" s="1"/>
  <c r="R22" i="9"/>
  <c r="Q22" i="9"/>
  <c r="P22" i="9"/>
  <c r="O22" i="9"/>
  <c r="N22" i="9"/>
  <c r="M22" i="9"/>
  <c r="L22" i="9"/>
  <c r="K22" i="9"/>
  <c r="J22" i="9"/>
  <c r="I22" i="9"/>
  <c r="H22" i="9"/>
  <c r="G22" i="9"/>
  <c r="F22" i="9"/>
  <c r="E22" i="9"/>
  <c r="D22" i="9"/>
  <c r="C22" i="9"/>
  <c r="B22" i="9"/>
  <c r="AB21" i="9"/>
  <c r="AA21" i="9"/>
  <c r="Z21" i="9"/>
  <c r="Z41" i="9" s="1"/>
  <c r="Y21" i="9"/>
  <c r="Y41" i="9" s="1"/>
  <c r="X21" i="9"/>
  <c r="X41" i="9" s="1"/>
  <c r="W21" i="9"/>
  <c r="V21" i="9"/>
  <c r="U21" i="9"/>
  <c r="T21" i="9"/>
  <c r="S21" i="9"/>
  <c r="R21" i="9"/>
  <c r="Q21" i="9"/>
  <c r="P21" i="9"/>
  <c r="O21" i="9"/>
  <c r="N21" i="9"/>
  <c r="M21" i="9"/>
  <c r="L21" i="9"/>
  <c r="K21" i="9"/>
  <c r="J21" i="9"/>
  <c r="I21" i="9"/>
  <c r="H21" i="9"/>
  <c r="G21" i="9"/>
  <c r="F21" i="9"/>
  <c r="E21" i="9"/>
  <c r="D21" i="9"/>
  <c r="D41" i="9" s="1"/>
  <c r="C21" i="9"/>
  <c r="C41" i="9" s="1"/>
  <c r="B21" i="9"/>
  <c r="B41" i="9" s="1"/>
  <c r="AB20" i="9"/>
  <c r="AA20" i="9"/>
  <c r="Z20" i="9"/>
  <c r="Y20" i="9"/>
  <c r="X20" i="9"/>
  <c r="W20" i="9"/>
  <c r="V20" i="9"/>
  <c r="U20" i="9"/>
  <c r="T20" i="9"/>
  <c r="S20" i="9"/>
  <c r="R20" i="9"/>
  <c r="Q20" i="9"/>
  <c r="P20" i="9"/>
  <c r="O20" i="9"/>
  <c r="N20" i="9"/>
  <c r="M20" i="9"/>
  <c r="L20" i="9"/>
  <c r="K20" i="9"/>
  <c r="J20" i="9"/>
  <c r="I20" i="9"/>
  <c r="I40" i="9" s="1"/>
  <c r="H20" i="9"/>
  <c r="G20" i="9"/>
  <c r="G40" i="9" s="1"/>
  <c r="F20" i="9"/>
  <c r="E20" i="9"/>
  <c r="D20" i="9"/>
  <c r="C20" i="9"/>
  <c r="B20" i="9"/>
  <c r="AB19" i="9"/>
  <c r="AA19" i="9"/>
  <c r="Z19" i="9"/>
  <c r="Y19" i="9"/>
  <c r="X19" i="9"/>
  <c r="W19" i="9"/>
  <c r="V19" i="9"/>
  <c r="U19" i="9"/>
  <c r="T19" i="9"/>
  <c r="S19" i="9"/>
  <c r="R19" i="9"/>
  <c r="Q19" i="9"/>
  <c r="P19" i="9"/>
  <c r="O19" i="9"/>
  <c r="N19" i="9"/>
  <c r="N39" i="9" s="1"/>
  <c r="M19" i="9"/>
  <c r="M39" i="9" s="1"/>
  <c r="L19" i="9"/>
  <c r="L39" i="9" s="1"/>
  <c r="K19" i="9"/>
  <c r="J19" i="9"/>
  <c r="I19" i="9"/>
  <c r="H19" i="9"/>
  <c r="G19" i="9"/>
  <c r="F19" i="9"/>
  <c r="E19" i="9"/>
  <c r="D19" i="9"/>
  <c r="C19" i="9"/>
  <c r="B19" i="9"/>
  <c r="AB18" i="9"/>
  <c r="AA18" i="9"/>
  <c r="Z18" i="9"/>
  <c r="Y18" i="9"/>
  <c r="X18" i="9"/>
  <c r="W18" i="9"/>
  <c r="V18" i="9"/>
  <c r="U18" i="9"/>
  <c r="T18" i="9"/>
  <c r="S18" i="9"/>
  <c r="S38" i="9" s="1"/>
  <c r="R18" i="9"/>
  <c r="R38" i="9" s="1"/>
  <c r="Q18" i="9"/>
  <c r="Q38" i="9" s="1"/>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E45" i="9" l="1"/>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<sst xmlns="http://schemas.openxmlformats.org/spreadsheetml/2006/main" count="5677" uniqueCount="335">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</sst>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92</v>
      </c>
    </row>
    <row r="2" spans="1:2" x14ac:dyDescent="0.25">
      <c r="A2" s="3" t="s">
        <v>2</v>
      </c>
      <c r="B2" s="4" t="str">
        <f>IFERROR(INDEX(Geography!B:B, MATCH($B$1, Geography!C:C, 0)), "")</f>
        <v>LA</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2247070</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4597740</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0.98583101379117033</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2350670</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4597740</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1.0139305884746652</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2864437</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4597740</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0.82905237251309594</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1498009</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4597740</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2.3849696414038211</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94294</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4597740</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0.31761761358925988</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141000</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4597740</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0.64772984909111475</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358082</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4597740</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0.39910989096823479</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4239658</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4597740</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1.1456867751947775</v>
      </c>
    </row>
    <row r="12" spans="1:28" x14ac:dyDescent="0.25">
      <c r="A12" s="4" t="s">
        <v>319</v>
      </c>
    </row>
    <row r="13" spans="1:28" x14ac:dyDescent="0.25">
      <c r="A13" s="4" t="s">
        <v>320</v>
      </c>
      <c r="B13" s="37">
        <f>INDEX(Census_pop_2020_2025!G:G, MATCH("."&amp;About!$B$1, Census_pop_2020_2025!A:A, 0))</f>
        <v>4614878</v>
      </c>
      <c r="C13" s="37">
        <f>INDEX(Census_pop_2020_2025!H:H, MATCH("."&amp;About!$B$1, Census_pop_2020_2025!A:A, 0))</f>
        <v>4618189</v>
      </c>
      <c r="D13" s="37">
        <f>INDEX(Census_pop_2020_2025!H:H, MATCH("."&amp;About!$B$1, Census_pop_2020_2025!A:A, 0))+0.2*(INDEX(Cooper_pop_2030_2050!D:D, MATCH(About!$B$1, Cooper_pop_2030_2050!B:B, 0))-INDEX(Census_pop_2020_2025!H:H, MATCH("."&amp;About!$B$1, Census_pop_2020_2025!A:A, 0)))</f>
        <v>4645101.6330057848</v>
      </c>
      <c r="E13" s="37">
        <f>INDEX(Census_pop_2020_2025!H:H, MATCH("."&amp;About!$B$1, Census_pop_2020_2025!A:A, 0))+0.4*(INDEX(Cooper_pop_2030_2050!D:D, MATCH(About!$B$1, Cooper_pop_2030_2050!B:B, 0))-INDEX(Census_pop_2020_2025!H:H, MATCH("."&amp;About!$B$1, Census_pop_2020_2025!A:A, 0)))</f>
        <v>4672014.2660115696</v>
      </c>
      <c r="F13" s="37">
        <f>INDEX(Census_pop_2020_2025!H:H, MATCH("."&amp;About!$B$1, Census_pop_2020_2025!A:A, 0))+0.6*(INDEX(Cooper_pop_2030_2050!D:D, MATCH(About!$B$1, Cooper_pop_2030_2050!B:B, 0))-INDEX(Census_pop_2020_2025!H:H, MATCH("."&amp;About!$B$1, Census_pop_2020_2025!A:A, 0)))</f>
        <v>4698926.8990173535</v>
      </c>
      <c r="G13" s="37">
        <f>INDEX(Census_pop_2020_2025!H:H, MATCH("."&amp;About!$B$1, Census_pop_2020_2025!A:A, 0))+0.8*(INDEX(Cooper_pop_2030_2050!D:D, MATCH(About!$B$1, Cooper_pop_2030_2050!B:B, 0))-INDEX(Census_pop_2020_2025!H:H, MATCH("."&amp;About!$B$1, Census_pop_2020_2025!A:A, 0)))</f>
        <v>4725839.5320231384</v>
      </c>
      <c r="H13" s="37">
        <f>INDEX(Cooper_pop_2030_2050!D:D, MATCH(About!$B$1, Cooper_pop_2030_2050!B:B, 0))</f>
        <v>4752752.1650289232</v>
      </c>
      <c r="I13" s="37">
        <f>INDEX(Cooper_pop_2030_2050!D:D, MATCH(About!$B$1, Cooper_pop_2030_2050!B:B, 0))+0.1*(INDEX(Cooper_pop_2030_2050!E:E, MATCH(About!$B$1, Cooper_pop_2030_2050!B:B, 0))-INDEX(Cooper_pop_2030_2050!D:D, MATCH(About!$B$1, Cooper_pop_2030_2050!B:B, 0)))</f>
        <v>4746967.398697637</v>
      </c>
      <c r="J13" s="37">
        <f>INDEX(Cooper_pop_2030_2050!D:D, MATCH(About!$B$1, Cooper_pop_2030_2050!B:B, 0))+0.2*(INDEX(Cooper_pop_2030_2050!E:E, MATCH(About!$B$1, Cooper_pop_2030_2050!B:B, 0))-INDEX(Cooper_pop_2030_2050!D:D, MATCH(About!$B$1, Cooper_pop_2030_2050!B:B, 0)))</f>
        <v>4741182.6323663509</v>
      </c>
      <c r="K13" s="37">
        <f>INDEX(Cooper_pop_2030_2050!D:D, MATCH(About!$B$1, Cooper_pop_2030_2050!B:B, 0))+0.3*(INDEX(Cooper_pop_2030_2050!E:E, MATCH(About!$B$1, Cooper_pop_2030_2050!B:B, 0))-INDEX(Cooper_pop_2030_2050!D:D, MATCH(About!$B$1, Cooper_pop_2030_2050!B:B, 0)))</f>
        <v>4735397.8660350647</v>
      </c>
      <c r="L13" s="37">
        <f>INDEX(Cooper_pop_2030_2050!D:D, MATCH(About!$B$1, Cooper_pop_2030_2050!B:B, 0))+0.4*(INDEX(Cooper_pop_2030_2050!E:E, MATCH(About!$B$1, Cooper_pop_2030_2050!B:B, 0))-INDEX(Cooper_pop_2030_2050!D:D, MATCH(About!$B$1, Cooper_pop_2030_2050!B:B, 0)))</f>
        <v>4729613.0997037785</v>
      </c>
      <c r="M13" s="37">
        <f>INDEX(Cooper_pop_2030_2050!D:D, MATCH(About!$B$1, Cooper_pop_2030_2050!B:B, 0))+0.5*(INDEX(Cooper_pop_2030_2050!E:E, MATCH(About!$B$1, Cooper_pop_2030_2050!B:B, 0))-INDEX(Cooper_pop_2030_2050!D:D, MATCH(About!$B$1, Cooper_pop_2030_2050!B:B, 0)))</f>
        <v>4723828.3333724923</v>
      </c>
      <c r="N13" s="37">
        <f>INDEX(Cooper_pop_2030_2050!D:D, MATCH(About!$B$1, Cooper_pop_2030_2050!B:B, 0))+0.6*(INDEX(Cooper_pop_2030_2050!E:E, MATCH(About!$B$1, Cooper_pop_2030_2050!B:B, 0))-INDEX(Cooper_pop_2030_2050!D:D, MATCH(About!$B$1, Cooper_pop_2030_2050!B:B, 0)))</f>
        <v>4718043.5670412052</v>
      </c>
      <c r="O13" s="37">
        <f>INDEX(Cooper_pop_2030_2050!D:D, MATCH(About!$B$1, Cooper_pop_2030_2050!B:B, 0))+0.7*(INDEX(Cooper_pop_2030_2050!E:E, MATCH(About!$B$1, Cooper_pop_2030_2050!B:B, 0))-INDEX(Cooper_pop_2030_2050!D:D, MATCH(About!$B$1, Cooper_pop_2030_2050!B:B, 0)))</f>
        <v>4712258.8007099191</v>
      </c>
      <c r="P13" s="37">
        <f>INDEX(Cooper_pop_2030_2050!D:D, MATCH(About!$B$1, Cooper_pop_2030_2050!B:B, 0))+0.8*(INDEX(Cooper_pop_2030_2050!E:E, MATCH(About!$B$1, Cooper_pop_2030_2050!B:B, 0))-INDEX(Cooper_pop_2030_2050!D:D, MATCH(About!$B$1, Cooper_pop_2030_2050!B:B, 0)))</f>
        <v>4706474.0343786329</v>
      </c>
      <c r="Q13" s="37">
        <f>INDEX(Cooper_pop_2030_2050!D:D, MATCH(About!$B$1, Cooper_pop_2030_2050!B:B, 0))+0.9*(INDEX(Cooper_pop_2030_2050!E:E, MATCH(About!$B$1, Cooper_pop_2030_2050!B:B, 0))-INDEX(Cooper_pop_2030_2050!D:D, MATCH(About!$B$1, Cooper_pop_2030_2050!B:B, 0)))</f>
        <v>4700689.2680473467</v>
      </c>
      <c r="R13" s="37">
        <f>INDEX(Cooper_pop_2030_2050!E:E, MATCH(About!$B$1, Cooper_pop_2030_2050!B:B, 0))</f>
        <v>4694904.5017160606</v>
      </c>
      <c r="S13" s="37">
        <f>INDEX(Cooper_pop_2030_2050!E:E, MATCH(About!$B$1, Cooper_pop_2030_2050!B:B, 0))+0.1*(INDEX(Cooper_pop_2030_2050!F:F, MATCH(About!$B$1, Cooper_pop_2030_2050!B:B, 0))-INDEX(Cooper_pop_2030_2050!E:E, MATCH(About!$B$1, Cooper_pop_2030_2050!B:B, 0)))</f>
        <v>4683755.6635519266</v>
      </c>
      <c r="T13" s="37">
        <f>INDEX(Cooper_pop_2030_2050!E:E, MATCH(About!$B$1, Cooper_pop_2030_2050!B:B, 0))+0.2*(INDEX(Cooper_pop_2030_2050!F:F, MATCH(About!$B$1, Cooper_pop_2030_2050!B:B, 0))-INDEX(Cooper_pop_2030_2050!E:E, MATCH(About!$B$1, Cooper_pop_2030_2050!B:B, 0)))</f>
        <v>4672606.8253877936</v>
      </c>
      <c r="U13" s="37">
        <f>INDEX(Cooper_pop_2030_2050!E:E, MATCH(About!$B$1, Cooper_pop_2030_2050!B:B, 0))+0.3*(INDEX(Cooper_pop_2030_2050!F:F, MATCH(About!$B$1, Cooper_pop_2030_2050!B:B, 0))-INDEX(Cooper_pop_2030_2050!E:E, MATCH(About!$B$1, Cooper_pop_2030_2050!B:B, 0)))</f>
        <v>4661457.9872236596</v>
      </c>
      <c r="V13" s="37">
        <f>INDEX(Cooper_pop_2030_2050!E:E, MATCH(About!$B$1, Cooper_pop_2030_2050!B:B, 0))+0.4*(INDEX(Cooper_pop_2030_2050!F:F, MATCH(About!$B$1, Cooper_pop_2030_2050!B:B, 0))-INDEX(Cooper_pop_2030_2050!E:E, MATCH(About!$B$1, Cooper_pop_2030_2050!B:B, 0)))</f>
        <v>4650309.1490595266</v>
      </c>
      <c r="W13" s="37">
        <f>INDEX(Cooper_pop_2030_2050!E:E, MATCH(About!$B$1, Cooper_pop_2030_2050!B:B, 0))+0.5*(INDEX(Cooper_pop_2030_2050!F:F, MATCH(About!$B$1, Cooper_pop_2030_2050!B:B, 0))-INDEX(Cooper_pop_2030_2050!E:E, MATCH(About!$B$1, Cooper_pop_2030_2050!B:B, 0)))</f>
        <v>4639160.3108953927</v>
      </c>
      <c r="X13" s="37">
        <f>INDEX(Cooper_pop_2030_2050!E:E, MATCH(About!$B$1, Cooper_pop_2030_2050!B:B, 0))+0.6*(INDEX(Cooper_pop_2030_2050!F:F, MATCH(About!$B$1, Cooper_pop_2030_2050!B:B, 0))-INDEX(Cooper_pop_2030_2050!E:E, MATCH(About!$B$1, Cooper_pop_2030_2050!B:B, 0)))</f>
        <v>4628011.4727312587</v>
      </c>
      <c r="Y13" s="37">
        <f>INDEX(Cooper_pop_2030_2050!E:E, MATCH(About!$B$1, Cooper_pop_2030_2050!B:B, 0))+0.7*(INDEX(Cooper_pop_2030_2050!F:F, MATCH(About!$B$1, Cooper_pop_2030_2050!B:B, 0))-INDEX(Cooper_pop_2030_2050!E:E, MATCH(About!$B$1, Cooper_pop_2030_2050!B:B, 0)))</f>
        <v>4616862.6345671257</v>
      </c>
      <c r="Z13" s="37">
        <f>INDEX(Cooper_pop_2030_2050!E:E, MATCH(About!$B$1, Cooper_pop_2030_2050!B:B, 0))+0.8*(INDEX(Cooper_pop_2030_2050!F:F, MATCH(About!$B$1, Cooper_pop_2030_2050!B:B, 0))-INDEX(Cooper_pop_2030_2050!E:E, MATCH(About!$B$1, Cooper_pop_2030_2050!B:B, 0)))</f>
        <v>4605713.7964029917</v>
      </c>
      <c r="AA13" s="37">
        <f>INDEX(Cooper_pop_2030_2050!E:E, MATCH(About!$B$1, Cooper_pop_2030_2050!B:B, 0))+0.9*(INDEX(Cooper_pop_2030_2050!F:F, MATCH(About!$B$1, Cooper_pop_2030_2050!B:B, 0))-INDEX(Cooper_pop_2030_2050!E:E, MATCH(About!$B$1, Cooper_pop_2030_2050!B:B, 0)))</f>
        <v>4594564.9582388587</v>
      </c>
      <c r="AB13" s="37">
        <f>INDEX(Cooper_pop_2030_2050!F:F, MATCH(About!$B$1, Cooper_pop_2030_2050!B:B, 0))</f>
        <v>4583416.1200747248</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1.3715074493932767E-2</v>
      </c>
      <c r="C15" s="39">
        <f t="shared" si="1"/>
        <v>1.3662623844375487E-2</v>
      </c>
      <c r="D15" s="39">
        <f t="shared" si="1"/>
        <v>1.3681658779873348E-2</v>
      </c>
      <c r="E15" s="39">
        <f t="shared" si="1"/>
        <v>1.3702107134840106E-2</v>
      </c>
      <c r="F15" s="39">
        <f t="shared" si="1"/>
        <v>1.3724111627244904E-2</v>
      </c>
      <c r="G15" s="39">
        <f t="shared" si="1"/>
        <v>1.3747745205297644E-2</v>
      </c>
      <c r="H15" s="39">
        <f t="shared" si="1"/>
        <v>1.3773156355888702E-2</v>
      </c>
      <c r="I15" s="39">
        <f t="shared" si="1"/>
        <v>1.3706119669693694E-2</v>
      </c>
      <c r="J15" s="39">
        <f t="shared" si="1"/>
        <v>1.3641920601528239E-2</v>
      </c>
      <c r="K15" s="39">
        <f t="shared" si="1"/>
        <v>1.3580078173023846E-2</v>
      </c>
      <c r="L15" s="39">
        <f t="shared" si="1"/>
        <v>1.3520610942229569E-2</v>
      </c>
      <c r="M15" s="39">
        <f t="shared" si="1"/>
        <v>1.3463528868800086E-2</v>
      </c>
      <c r="N15" s="39">
        <f t="shared" si="1"/>
        <v>1.340882995823829E-2</v>
      </c>
      <c r="O15" s="39">
        <f t="shared" si="1"/>
        <v>1.3356513701450018E-2</v>
      </c>
      <c r="P15" s="39">
        <f t="shared" si="1"/>
        <v>1.3306563750560978E-2</v>
      </c>
      <c r="Q15" s="39">
        <f t="shared" si="1"/>
        <v>1.3258937796832999E-2</v>
      </c>
      <c r="R15" s="39">
        <f t="shared" si="1"/>
        <v>1.3213579398422607E-2</v>
      </c>
      <c r="S15" s="39">
        <f t="shared" si="1"/>
        <v>1.3155377507652211E-2</v>
      </c>
      <c r="T15" s="39">
        <f t="shared" si="1"/>
        <v>1.3099342950543475E-2</v>
      </c>
      <c r="U15" s="39">
        <f t="shared" si="1"/>
        <v>1.3045341246754624E-2</v>
      </c>
      <c r="V15" s="39">
        <f t="shared" si="1"/>
        <v>1.2993196563706034E-2</v>
      </c>
      <c r="W15" s="39">
        <f t="shared" si="1"/>
        <v>1.2942714389514174E-2</v>
      </c>
      <c r="X15" s="39">
        <f t="shared" si="1"/>
        <v>1.289369768465831E-2</v>
      </c>
      <c r="Y15" s="39">
        <f t="shared" si="1"/>
        <v>1.2846016860355164E-2</v>
      </c>
      <c r="Z15" s="39">
        <f t="shared" si="1"/>
        <v>1.2799488738986156E-2</v>
      </c>
      <c r="AA15" s="39">
        <f t="shared" si="1"/>
        <v>1.2753929897394618E-2</v>
      </c>
      <c r="AB15" s="39">
        <f t="shared" si="1"/>
        <v>1.2709162072631735E-2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127.24373865392486</v>
      </c>
      <c r="C48" s="37">
        <f t="shared" si="10"/>
        <v>125.80081786721928</v>
      </c>
      <c r="D48" s="37">
        <f t="shared" si="10"/>
        <v>125.00496325790907</v>
      </c>
      <c r="E48" s="37">
        <f t="shared" si="10"/>
        <v>124.21922009522352</v>
      </c>
      <c r="F48" s="37">
        <f t="shared" si="10"/>
        <v>123.41751180505244</v>
      </c>
      <c r="G48" s="37">
        <f t="shared" si="10"/>
        <v>122.60001820301324</v>
      </c>
      <c r="H48" s="37">
        <f t="shared" si="10"/>
        <v>121.76754609068078</v>
      </c>
      <c r="I48" s="37">
        <f t="shared" si="10"/>
        <v>120.16148543219957</v>
      </c>
      <c r="J48" s="37">
        <f t="shared" si="10"/>
        <v>118.49586497921977</v>
      </c>
      <c r="K48" s="37">
        <f t="shared" si="10"/>
        <v>116.87429129125661</v>
      </c>
      <c r="L48" s="37">
        <f t="shared" si="10"/>
        <v>115.20287190985276</v>
      </c>
      <c r="M48" s="37">
        <f t="shared" si="10"/>
        <v>113.57504423434931</v>
      </c>
      <c r="N48" s="37">
        <f t="shared" si="10"/>
        <v>112.00323497595943</v>
      </c>
      <c r="O48" s="37">
        <f t="shared" si="10"/>
        <v>110.30218261614611</v>
      </c>
      <c r="P48" s="37">
        <f t="shared" si="10"/>
        <v>108.66970445630997</v>
      </c>
      <c r="Q48" s="37">
        <f t="shared" si="10"/>
        <v>106.98672505702604</v>
      </c>
      <c r="R48" s="37">
        <f t="shared" si="10"/>
        <v>105.31809128506001</v>
      </c>
      <c r="S48" s="37">
        <f t="shared" si="10"/>
        <v>103.51839153678158</v>
      </c>
      <c r="T48" s="37">
        <f t="shared" si="10"/>
        <v>101.74734596400712</v>
      </c>
      <c r="U48" s="37">
        <f t="shared" si="10"/>
        <v>100.00326344733412</v>
      </c>
      <c r="V48" s="37">
        <f t="shared" si="10"/>
        <v>98.284194688253038</v>
      </c>
      <c r="W48" s="37">
        <f t="shared" si="10"/>
        <v>96.60088173527798</v>
      </c>
      <c r="X48" s="37">
        <f t="shared" si="10"/>
        <v>95.040199787497144</v>
      </c>
      <c r="Y48" s="37">
        <f t="shared" si="10"/>
        <v>93.498325471187172</v>
      </c>
      <c r="Z48" s="37">
        <f t="shared" si="10"/>
        <v>92.036661807055367</v>
      </c>
      <c r="AA48" s="37">
        <f t="shared" si="10"/>
        <v>90.602620729947802</v>
      </c>
      <c r="AB48" s="37">
        <f t="shared" si="10"/>
        <v>89.182035076890713</v>
      </c>
    </row>
    <row r="49" spans="1:28" x14ac:dyDescent="0.25">
      <c r="A49" s="4" t="s">
        <v>216</v>
      </c>
      <c r="B49" s="37">
        <f t="shared" ref="B49:AB49" si="11">B29*B15*$F$5</f>
        <v>104.35162617876384</v>
      </c>
      <c r="C49" s="37">
        <f t="shared" si="11"/>
        <v>103.38458252708571</v>
      </c>
      <c r="D49" s="37">
        <f t="shared" si="11"/>
        <v>102.95985685253619</v>
      </c>
      <c r="E49" s="37">
        <f t="shared" si="11"/>
        <v>102.53023336321647</v>
      </c>
      <c r="F49" s="37">
        <f t="shared" si="11"/>
        <v>102.08261569990844</v>
      </c>
      <c r="G49" s="37">
        <f t="shared" si="11"/>
        <v>101.64507944422289</v>
      </c>
      <c r="H49" s="37">
        <f t="shared" si="11"/>
        <v>101.20453276224136</v>
      </c>
      <c r="I49" s="37">
        <f t="shared" si="11"/>
        <v>100.01709751130912</v>
      </c>
      <c r="J49" s="37">
        <f t="shared" si="11"/>
        <v>98.898518171540118</v>
      </c>
      <c r="K49" s="37">
        <f t="shared" si="11"/>
        <v>97.720414469932251</v>
      </c>
      <c r="L49" s="37">
        <f t="shared" si="11"/>
        <v>96.593339270765597</v>
      </c>
      <c r="M49" s="37">
        <f t="shared" si="11"/>
        <v>95.407424320979047</v>
      </c>
      <c r="N49" s="37">
        <f t="shared" si="11"/>
        <v>94.176879484120022</v>
      </c>
      <c r="O49" s="37">
        <f t="shared" si="11"/>
        <v>93.03750946732147</v>
      </c>
      <c r="P49" s="37">
        <f t="shared" si="11"/>
        <v>91.78561349247974</v>
      </c>
      <c r="Q49" s="37">
        <f t="shared" si="11"/>
        <v>90.583263858285378</v>
      </c>
      <c r="R49" s="37">
        <f t="shared" si="11"/>
        <v>89.33554577177604</v>
      </c>
      <c r="S49" s="37">
        <f t="shared" si="11"/>
        <v>88.008344463089315</v>
      </c>
      <c r="T49" s="37">
        <f t="shared" si="11"/>
        <v>86.677186729262388</v>
      </c>
      <c r="U49" s="37">
        <f t="shared" si="11"/>
        <v>85.367513182385764</v>
      </c>
      <c r="V49" s="37">
        <f t="shared" si="11"/>
        <v>84.104089212226839</v>
      </c>
      <c r="W49" s="37">
        <f t="shared" si="11"/>
        <v>82.871833520004927</v>
      </c>
      <c r="X49" s="37">
        <f t="shared" si="11"/>
        <v>81.642848933970072</v>
      </c>
      <c r="Y49" s="37">
        <f t="shared" si="11"/>
        <v>80.481286137477085</v>
      </c>
      <c r="Z49" s="37">
        <f t="shared" si="11"/>
        <v>79.320271728491548</v>
      </c>
      <c r="AA49" s="37">
        <f t="shared" si="11"/>
        <v>78.210314660398751</v>
      </c>
      <c r="AB49" s="37">
        <f t="shared" si="11"/>
        <v>77.188386994147109</v>
      </c>
    </row>
    <row r="50" spans="1:28" x14ac:dyDescent="0.25">
      <c r="A50" s="4" t="s">
        <v>217</v>
      </c>
      <c r="B50" s="37">
        <f t="shared" ref="B50:AB50" si="12">B30*B15*$F$6</f>
        <v>112.09053734701689</v>
      </c>
      <c r="C50" s="37">
        <f t="shared" si="12"/>
        <v>110.92561177175769</v>
      </c>
      <c r="D50" s="37">
        <f t="shared" si="12"/>
        <v>110.3542147507454</v>
      </c>
      <c r="E50" s="37">
        <f t="shared" si="12"/>
        <v>109.76940367325075</v>
      </c>
      <c r="F50" s="37">
        <f t="shared" si="12"/>
        <v>109.18335810071795</v>
      </c>
      <c r="G50" s="37">
        <f t="shared" si="12"/>
        <v>108.60773782459229</v>
      </c>
      <c r="H50" s="37">
        <f t="shared" si="12"/>
        <v>107.99776150745046</v>
      </c>
      <c r="I50" s="37">
        <f t="shared" si="12"/>
        <v>106.6766985906536</v>
      </c>
      <c r="J50" s="37">
        <f t="shared" si="12"/>
        <v>105.3287880214144</v>
      </c>
      <c r="K50" s="37">
        <f t="shared" si="12"/>
        <v>103.96187572494111</v>
      </c>
      <c r="L50" s="37">
        <f t="shared" si="12"/>
        <v>102.56504540225984</v>
      </c>
      <c r="M50" s="37">
        <f t="shared" si="12"/>
        <v>101.13861516331114</v>
      </c>
      <c r="N50" s="37">
        <f t="shared" si="12"/>
        <v>99.682752069965602</v>
      </c>
      <c r="O50" s="37">
        <f t="shared" si="12"/>
        <v>98.164355688904038</v>
      </c>
      <c r="P50" s="37">
        <f t="shared" si="12"/>
        <v>96.627871208970816</v>
      </c>
      <c r="Q50" s="37">
        <f t="shared" si="12"/>
        <v>95.061875986422905</v>
      </c>
      <c r="R50" s="37">
        <f t="shared" si="12"/>
        <v>93.465921451234536</v>
      </c>
      <c r="S50" s="37">
        <f t="shared" si="12"/>
        <v>91.756358705947989</v>
      </c>
      <c r="T50" s="37">
        <f t="shared" si="12"/>
        <v>90.073182969430306</v>
      </c>
      <c r="U50" s="37">
        <f t="shared" si="12"/>
        <v>88.414841331320318</v>
      </c>
      <c r="V50" s="37">
        <f t="shared" si="12"/>
        <v>86.790329806303106</v>
      </c>
      <c r="W50" s="37">
        <f t="shared" si="12"/>
        <v>85.2191536629485</v>
      </c>
      <c r="X50" s="37">
        <f t="shared" si="12"/>
        <v>83.709871186608069</v>
      </c>
      <c r="Y50" s="37">
        <f t="shared" si="12"/>
        <v>82.239460273358489</v>
      </c>
      <c r="Z50" s="37">
        <f t="shared" si="12"/>
        <v>80.816776589780744</v>
      </c>
      <c r="AA50" s="37">
        <f t="shared" si="12"/>
        <v>79.461173939859876</v>
      </c>
      <c r="AB50" s="37">
        <f t="shared" si="12"/>
        <v>78.149672706841557</v>
      </c>
    </row>
    <row r="51" spans="1:28" x14ac:dyDescent="0.25">
      <c r="A51" s="4" t="s">
        <v>218</v>
      </c>
      <c r="B51" s="37">
        <f t="shared" ref="B51:AB51" si="13">B31*B15*$F$7</f>
        <v>153.01754980027349</v>
      </c>
      <c r="C51" s="37">
        <f t="shared" si="13"/>
        <v>150.37951236383662</v>
      </c>
      <c r="D51" s="37">
        <f t="shared" si="13"/>
        <v>148.56594181740223</v>
      </c>
      <c r="E51" s="37">
        <f t="shared" si="13"/>
        <v>146.69652272441513</v>
      </c>
      <c r="F51" s="37">
        <f t="shared" si="13"/>
        <v>144.77182073983465</v>
      </c>
      <c r="G51" s="37">
        <f t="shared" si="13"/>
        <v>142.85711972756246</v>
      </c>
      <c r="H51" s="37">
        <f t="shared" si="13"/>
        <v>140.85462431564011</v>
      </c>
      <c r="I51" s="37">
        <f t="shared" si="13"/>
        <v>137.94622670367571</v>
      </c>
      <c r="J51" s="37">
        <f t="shared" si="13"/>
        <v>135.08767204607793</v>
      </c>
      <c r="K51" s="37">
        <f t="shared" si="13"/>
        <v>132.27289491253657</v>
      </c>
      <c r="L51" s="37">
        <f t="shared" si="13"/>
        <v>129.56541896114746</v>
      </c>
      <c r="M51" s="37">
        <f t="shared" si="13"/>
        <v>126.99547563018719</v>
      </c>
      <c r="N51" s="37">
        <f t="shared" si="13"/>
        <v>124.46480705184597</v>
      </c>
      <c r="O51" s="37">
        <f t="shared" si="13"/>
        <v>122.06789898339387</v>
      </c>
      <c r="P51" s="37">
        <f t="shared" si="13"/>
        <v>119.7072511745297</v>
      </c>
      <c r="Q51" s="37">
        <f t="shared" si="13"/>
        <v>117.44471755173886</v>
      </c>
      <c r="R51" s="37">
        <f t="shared" si="13"/>
        <v>115.24664577627324</v>
      </c>
      <c r="S51" s="37">
        <f t="shared" si="13"/>
        <v>112.95063351704587</v>
      </c>
      <c r="T51" s="37">
        <f t="shared" si="13"/>
        <v>110.72000095925458</v>
      </c>
      <c r="U51" s="37">
        <f t="shared" si="13"/>
        <v>108.52124700939682</v>
      </c>
      <c r="V51" s="37">
        <f t="shared" si="13"/>
        <v>106.41409468526042</v>
      </c>
      <c r="W51" s="37">
        <f t="shared" si="13"/>
        <v>104.30290744877237</v>
      </c>
      <c r="X51" s="37">
        <f t="shared" si="13"/>
        <v>102.27808390917814</v>
      </c>
      <c r="Y51" s="37">
        <f t="shared" si="13"/>
        <v>100.36799209680089</v>
      </c>
      <c r="Z51" s="37">
        <f t="shared" si="13"/>
        <v>98.478140811277868</v>
      </c>
      <c r="AA51" s="37">
        <f t="shared" si="13"/>
        <v>96.667563780906548</v>
      </c>
      <c r="AB51" s="37">
        <f t="shared" si="13"/>
        <v>94.873322675140628</v>
      </c>
    </row>
    <row r="52" spans="1:28" x14ac:dyDescent="0.25">
      <c r="A52" s="4" t="s">
        <v>219</v>
      </c>
      <c r="B52" s="37">
        <f t="shared" ref="B52:AB52" si="14">B32*B15*$F$8</f>
        <v>3.7506444878581542</v>
      </c>
      <c r="C52" s="37">
        <f t="shared" si="14"/>
        <v>3.7493193434269783</v>
      </c>
      <c r="D52" s="37">
        <f t="shared" si="14"/>
        <v>3.7675795486623307</v>
      </c>
      <c r="E52" s="37">
        <f t="shared" si="14"/>
        <v>3.7906186258710006</v>
      </c>
      <c r="F52" s="37">
        <f t="shared" si="14"/>
        <v>3.8141421357183733</v>
      </c>
      <c r="G52" s="37">
        <f t="shared" si="14"/>
        <v>3.8381763753947085</v>
      </c>
      <c r="H52" s="37">
        <f t="shared" si="14"/>
        <v>3.8627691981072698</v>
      </c>
      <c r="I52" s="37">
        <f t="shared" si="14"/>
        <v>3.8613815536774934</v>
      </c>
      <c r="J52" s="37">
        <f t="shared" si="14"/>
        <v>3.8606266112123202</v>
      </c>
      <c r="K52" s="37">
        <f t="shared" si="14"/>
        <v>3.8690050034392729</v>
      </c>
      <c r="L52" s="37">
        <f t="shared" si="14"/>
        <v>3.8692401477475507</v>
      </c>
      <c r="M52" s="37">
        <f t="shared" si="14"/>
        <v>3.8700097883675442</v>
      </c>
      <c r="N52" s="37">
        <f t="shared" si="14"/>
        <v>3.871322440275077</v>
      </c>
      <c r="O52" s="37">
        <f t="shared" si="14"/>
        <v>3.8731870390545748</v>
      </c>
      <c r="P52" s="37">
        <f t="shared" si="14"/>
        <v>3.8713815055503011</v>
      </c>
      <c r="Q52" s="37">
        <f t="shared" si="14"/>
        <v>3.8743704072178531</v>
      </c>
      <c r="R52" s="37">
        <f t="shared" si="14"/>
        <v>3.8695100421702593</v>
      </c>
      <c r="S52" s="37">
        <f t="shared" si="14"/>
        <v>3.8650011391078469</v>
      </c>
      <c r="T52" s="37">
        <f t="shared" si="14"/>
        <v>3.8651807221636503</v>
      </c>
      <c r="U52" s="37">
        <f t="shared" si="14"/>
        <v>3.8575334745393737</v>
      </c>
      <c r="V52" s="37">
        <f t="shared" si="14"/>
        <v>3.8544947918200902</v>
      </c>
      <c r="W52" s="37">
        <f t="shared" si="14"/>
        <v>3.85185151212568</v>
      </c>
      <c r="X52" s="37">
        <f t="shared" si="14"/>
        <v>3.8454542941170433</v>
      </c>
      <c r="Y52" s="37">
        <f t="shared" si="14"/>
        <v>3.8475543098125398</v>
      </c>
      <c r="Z52" s="37">
        <f t="shared" si="14"/>
        <v>3.8417491996752222</v>
      </c>
      <c r="AA52" s="37">
        <f t="shared" si="14"/>
        <v>3.8361765206667475</v>
      </c>
      <c r="AB52" s="37">
        <f t="shared" si="14"/>
        <v>3.830784388088774</v>
      </c>
    </row>
    <row r="53" spans="1:28" x14ac:dyDescent="0.25">
      <c r="A53" s="4" t="s">
        <v>220</v>
      </c>
      <c r="B53" s="37">
        <f t="shared" ref="B53:AB53" si="15">B33*B15*$F$9</f>
        <v>13.485400634722815</v>
      </c>
      <c r="C53" s="37">
        <f t="shared" si="15"/>
        <v>13.548874289067086</v>
      </c>
      <c r="D53" s="37">
        <f t="shared" si="15"/>
        <v>13.656370935054177</v>
      </c>
      <c r="E53" s="37">
        <f t="shared" si="15"/>
        <v>13.783284660714457</v>
      </c>
      <c r="F53" s="37">
        <f t="shared" si="15"/>
        <v>13.903204202043829</v>
      </c>
      <c r="G53" s="37">
        <f t="shared" si="15"/>
        <v>14.007289610439258</v>
      </c>
      <c r="H53" s="37">
        <f t="shared" si="15"/>
        <v>14.149157197822275</v>
      </c>
      <c r="I53" s="37">
        <f t="shared" si="15"/>
        <v>14.160191206314352</v>
      </c>
      <c r="J53" s="37">
        <f t="shared" si="15"/>
        <v>14.182228071928073</v>
      </c>
      <c r="K53" s="37">
        <f t="shared" si="15"/>
        <v>14.179509840881142</v>
      </c>
      <c r="L53" s="37">
        <f t="shared" si="15"/>
        <v>14.187479322072654</v>
      </c>
      <c r="M53" s="37">
        <f t="shared" si="15"/>
        <v>14.171185473935338</v>
      </c>
      <c r="N53" s="37">
        <f t="shared" si="15"/>
        <v>14.174408629511788</v>
      </c>
      <c r="O53" s="37">
        <f t="shared" si="15"/>
        <v>14.162362433114076</v>
      </c>
      <c r="P53" s="37">
        <f t="shared" si="15"/>
        <v>14.135255989318344</v>
      </c>
      <c r="Q53" s="37">
        <f t="shared" si="15"/>
        <v>14.093252246110081</v>
      </c>
      <c r="R53" s="37">
        <f t="shared" si="15"/>
        <v>14.053598514677118</v>
      </c>
      <c r="S53" s="37">
        <f t="shared" si="15"/>
        <v>13.991696589315405</v>
      </c>
      <c r="T53" s="37">
        <f t="shared" si="15"/>
        <v>13.89816043851409</v>
      </c>
      <c r="U53" s="37">
        <f t="shared" si="15"/>
        <v>13.823965916379636</v>
      </c>
      <c r="V53" s="37">
        <f t="shared" si="15"/>
        <v>13.735044599054255</v>
      </c>
      <c r="W53" s="37">
        <f t="shared" si="15"/>
        <v>13.648146609632848</v>
      </c>
      <c r="X53" s="37">
        <f t="shared" si="15"/>
        <v>13.579755023059558</v>
      </c>
      <c r="Y53" s="37">
        <f t="shared" si="15"/>
        <v>13.487933419617601</v>
      </c>
      <c r="Z53" s="37">
        <f t="shared" si="15"/>
        <v>13.422499062232674</v>
      </c>
      <c r="AA53" s="37">
        <f t="shared" si="15"/>
        <v>13.333417155641529</v>
      </c>
      <c r="AB53" s="37">
        <f t="shared" si="15"/>
        <v>13.270151053785</v>
      </c>
    </row>
    <row r="54" spans="1:28" x14ac:dyDescent="0.25">
      <c r="A54" s="4" t="s">
        <v>221</v>
      </c>
      <c r="B54" s="37">
        <f t="shared" ref="B54:AB54" si="16">B34*B15*$F$10</f>
        <v>21.024949863721638</v>
      </c>
      <c r="C54" s="37">
        <f t="shared" si="16"/>
        <v>21.031790222734596</v>
      </c>
      <c r="D54" s="37">
        <f t="shared" si="16"/>
        <v>21.159380707611895</v>
      </c>
      <c r="E54" s="37">
        <f t="shared" si="16"/>
        <v>21.294909411114592</v>
      </c>
      <c r="F54" s="37">
        <f t="shared" si="16"/>
        <v>21.449610770346798</v>
      </c>
      <c r="G54" s="37">
        <f t="shared" si="16"/>
        <v>21.585311527845263</v>
      </c>
      <c r="H54" s="37">
        <f t="shared" si="16"/>
        <v>21.718658582305888</v>
      </c>
      <c r="I54" s="37">
        <f t="shared" si="16"/>
        <v>21.700473526286135</v>
      </c>
      <c r="J54" s="37">
        <f t="shared" si="16"/>
        <v>21.675053892059413</v>
      </c>
      <c r="K54" s="37">
        <f t="shared" si="16"/>
        <v>21.641834471269778</v>
      </c>
      <c r="L54" s="37">
        <f t="shared" si="16"/>
        <v>21.595630655026618</v>
      </c>
      <c r="M54" s="37">
        <f t="shared" si="16"/>
        <v>21.536697575808933</v>
      </c>
      <c r="N54" s="37">
        <f t="shared" si="16"/>
        <v>21.465254213865421</v>
      </c>
      <c r="O54" s="37">
        <f t="shared" si="16"/>
        <v>21.38150479240392</v>
      </c>
      <c r="P54" s="37">
        <f t="shared" si="16"/>
        <v>21.269678736631274</v>
      </c>
      <c r="Q54" s="37">
        <f t="shared" si="16"/>
        <v>21.14592578092071</v>
      </c>
      <c r="R54" s="37">
        <f t="shared" si="16"/>
        <v>20.994481197591153</v>
      </c>
      <c r="S54" s="37">
        <f t="shared" si="16"/>
        <v>20.823250127287519</v>
      </c>
      <c r="T54" s="37">
        <f t="shared" si="16"/>
        <v>20.635221248140102</v>
      </c>
      <c r="U54" s="37">
        <f t="shared" si="16"/>
        <v>20.430403011622307</v>
      </c>
      <c r="V54" s="37">
        <f t="shared" si="16"/>
        <v>20.229467442355144</v>
      </c>
      <c r="W54" s="37">
        <f t="shared" si="16"/>
        <v>20.006234518566355</v>
      </c>
      <c r="X54" s="37">
        <f t="shared" si="16"/>
        <v>19.812108766840232</v>
      </c>
      <c r="Y54" s="37">
        <f t="shared" si="16"/>
        <v>19.615796358448655</v>
      </c>
      <c r="Z54" s="37">
        <f t="shared" si="16"/>
        <v>19.422146514360602</v>
      </c>
      <c r="AA54" s="37">
        <f t="shared" si="16"/>
        <v>19.235939757923486</v>
      </c>
      <c r="AB54" s="37">
        <f t="shared" si="16"/>
        <v>19.061899902459132</v>
      </c>
    </row>
    <row r="55" spans="1:28" x14ac:dyDescent="0.25">
      <c r="A55" s="4" t="s">
        <v>222</v>
      </c>
      <c r="B55" s="37">
        <f t="shared" ref="B55:AB55" si="17">B35*B15*$F$11</f>
        <v>205.43410837129943</v>
      </c>
      <c r="C55" s="37">
        <f t="shared" si="17"/>
        <v>202.64487016604377</v>
      </c>
      <c r="D55" s="37">
        <f t="shared" si="17"/>
        <v>200.87378617630608</v>
      </c>
      <c r="E55" s="37">
        <f t="shared" si="17"/>
        <v>199.0861314830812</v>
      </c>
      <c r="F55" s="37">
        <f t="shared" si="17"/>
        <v>197.20455330198254</v>
      </c>
      <c r="G55" s="37">
        <f t="shared" si="17"/>
        <v>195.37056483314763</v>
      </c>
      <c r="H55" s="37">
        <f t="shared" si="17"/>
        <v>193.5225239712417</v>
      </c>
      <c r="I55" s="37">
        <f t="shared" si="17"/>
        <v>190.36649970317194</v>
      </c>
      <c r="J55" s="37">
        <f t="shared" si="17"/>
        <v>187.23982889670847</v>
      </c>
      <c r="K55" s="37">
        <f t="shared" si="17"/>
        <v>184.11947797649128</v>
      </c>
      <c r="L55" s="37">
        <f t="shared" si="17"/>
        <v>181.03613123713689</v>
      </c>
      <c r="M55" s="37">
        <f t="shared" si="17"/>
        <v>177.97349968798227</v>
      </c>
      <c r="N55" s="37">
        <f t="shared" si="17"/>
        <v>174.96145284478243</v>
      </c>
      <c r="O55" s="37">
        <f t="shared" si="17"/>
        <v>171.93755415711883</v>
      </c>
      <c r="P55" s="37">
        <f t="shared" si="17"/>
        <v>168.94679787255217</v>
      </c>
      <c r="Q55" s="37">
        <f t="shared" si="17"/>
        <v>165.987573509431</v>
      </c>
      <c r="R55" s="37">
        <f t="shared" si="17"/>
        <v>163.07324878464334</v>
      </c>
      <c r="S55" s="37">
        <f t="shared" si="17"/>
        <v>159.97359274051183</v>
      </c>
      <c r="T55" s="37">
        <f t="shared" si="17"/>
        <v>156.95098656562377</v>
      </c>
      <c r="U55" s="37">
        <f t="shared" si="17"/>
        <v>154.03218717605603</v>
      </c>
      <c r="V55" s="37">
        <f t="shared" si="17"/>
        <v>151.1835715268472</v>
      </c>
      <c r="W55" s="37">
        <f t="shared" si="17"/>
        <v>148.47573496914083</v>
      </c>
      <c r="X55" s="37">
        <f t="shared" si="17"/>
        <v>145.83055542487941</v>
      </c>
      <c r="Y55" s="37">
        <f t="shared" si="17"/>
        <v>143.28969323783923</v>
      </c>
      <c r="Z55" s="37">
        <f t="shared" si="17"/>
        <v>140.83502460401488</v>
      </c>
      <c r="AA55" s="37">
        <f t="shared" si="17"/>
        <v>138.44878352407966</v>
      </c>
      <c r="AB55" s="37">
        <f t="shared" si="17"/>
        <v>136.14272181243845</v>
      </c>
    </row>
    <row r="57" spans="1:28" x14ac:dyDescent="0.25">
      <c r="A57" s="4" t="s">
        <v>327</v>
      </c>
    </row>
    <row r="58" spans="1:28" x14ac:dyDescent="0.25">
      <c r="A58" s="4" t="s">
        <v>215</v>
      </c>
      <c r="B58" s="37">
        <f t="shared" ref="B58:AB58" si="18">B38*B15*$F$4</f>
        <v>20177.522734600032</v>
      </c>
      <c r="C58" s="37">
        <f t="shared" si="18"/>
        <v>20466.486570279973</v>
      </c>
      <c r="D58" s="37">
        <f t="shared" si="18"/>
        <v>20858.604938943456</v>
      </c>
      <c r="E58" s="37">
        <f t="shared" si="18"/>
        <v>21252.441593601317</v>
      </c>
      <c r="F58" s="37">
        <f t="shared" si="18"/>
        <v>21649.82902545073</v>
      </c>
      <c r="G58" s="37">
        <f t="shared" si="18"/>
        <v>22051.428014298046</v>
      </c>
      <c r="H58" s="37">
        <f t="shared" si="18"/>
        <v>22455.752236149514</v>
      </c>
      <c r="I58" s="37">
        <f t="shared" si="18"/>
        <v>22705.129491463922</v>
      </c>
      <c r="J58" s="37">
        <f t="shared" si="18"/>
        <v>22949.035400019315</v>
      </c>
      <c r="K58" s="37">
        <f t="shared" si="18"/>
        <v>23187.149846086977</v>
      </c>
      <c r="L58" s="37">
        <f t="shared" si="18"/>
        <v>23417.599539305054</v>
      </c>
      <c r="M58" s="37">
        <f t="shared" si="18"/>
        <v>23640.093974022566</v>
      </c>
      <c r="N58" s="37">
        <f t="shared" si="18"/>
        <v>23852.326832536968</v>
      </c>
      <c r="O58" s="37">
        <f t="shared" si="18"/>
        <v>24053.525991542243</v>
      </c>
      <c r="P58" s="37">
        <f t="shared" si="18"/>
        <v>24240.742658860137</v>
      </c>
      <c r="Q58" s="37">
        <f t="shared" si="18"/>
        <v>24413.638677976298</v>
      </c>
      <c r="R58" s="37">
        <f t="shared" si="18"/>
        <v>24568.672072031943</v>
      </c>
      <c r="S58" s="37">
        <f t="shared" si="18"/>
        <v>24678.02196639499</v>
      </c>
      <c r="T58" s="37">
        <f t="shared" si="18"/>
        <v>24768.434297861659</v>
      </c>
      <c r="U58" s="37">
        <f t="shared" si="18"/>
        <v>24841.409939710364</v>
      </c>
      <c r="V58" s="37">
        <f t="shared" si="18"/>
        <v>24891.147984621512</v>
      </c>
      <c r="W58" s="37">
        <f t="shared" si="18"/>
        <v>24919.301763561354</v>
      </c>
      <c r="X58" s="37">
        <f t="shared" si="18"/>
        <v>24924.670546731155</v>
      </c>
      <c r="Y58" s="37">
        <f t="shared" si="18"/>
        <v>24917.677326125206</v>
      </c>
      <c r="Z58" s="37">
        <f t="shared" si="18"/>
        <v>24889.31773527063</v>
      </c>
      <c r="AA58" s="37">
        <f t="shared" si="18"/>
        <v>24841.26209402419</v>
      </c>
      <c r="AB58" s="37">
        <f t="shared" si="18"/>
        <v>24775.879421391401</v>
      </c>
    </row>
    <row r="59" spans="1:28" x14ac:dyDescent="0.25">
      <c r="A59" s="4" t="s">
        <v>216</v>
      </c>
      <c r="B59" s="37">
        <f t="shared" ref="B59:AB59" si="19">B39*B15*$F$5</f>
        <v>19500.821391224916</v>
      </c>
      <c r="C59" s="37">
        <f t="shared" si="19"/>
        <v>19728.862013335383</v>
      </c>
      <c r="D59" s="37">
        <f t="shared" si="19"/>
        <v>20057.889655494757</v>
      </c>
      <c r="E59" s="37">
        <f t="shared" si="19"/>
        <v>20398.751145236234</v>
      </c>
      <c r="F59" s="37">
        <f t="shared" si="19"/>
        <v>20757.30875318926</v>
      </c>
      <c r="G59" s="37">
        <f t="shared" si="19"/>
        <v>21134.788716923671</v>
      </c>
      <c r="H59" s="37">
        <f t="shared" si="19"/>
        <v>21533.285782467432</v>
      </c>
      <c r="I59" s="37">
        <f t="shared" si="19"/>
        <v>21800.78108202112</v>
      </c>
      <c r="J59" s="37">
        <f t="shared" si="19"/>
        <v>22082.337776553148</v>
      </c>
      <c r="K59" s="37">
        <f t="shared" si="19"/>
        <v>22372.191825820013</v>
      </c>
      <c r="L59" s="37">
        <f t="shared" si="19"/>
        <v>22669.809663889053</v>
      </c>
      <c r="M59" s="37">
        <f t="shared" si="19"/>
        <v>22973.750118097531</v>
      </c>
      <c r="N59" s="37">
        <f t="shared" si="19"/>
        <v>23279.078034203194</v>
      </c>
      <c r="O59" s="37">
        <f t="shared" si="19"/>
        <v>23581.162557871565</v>
      </c>
      <c r="P59" s="37">
        <f t="shared" si="19"/>
        <v>23879.033173600263</v>
      </c>
      <c r="Q59" s="37">
        <f t="shared" si="19"/>
        <v>24166.197837460197</v>
      </c>
      <c r="R59" s="37">
        <f t="shared" si="19"/>
        <v>24440.948623368873</v>
      </c>
      <c r="S59" s="37">
        <f t="shared" si="19"/>
        <v>24670.787768055397</v>
      </c>
      <c r="T59" s="37">
        <f t="shared" si="19"/>
        <v>24881.718448398922</v>
      </c>
      <c r="U59" s="37">
        <f t="shared" si="19"/>
        <v>25071.647642849173</v>
      </c>
      <c r="V59" s="37">
        <f t="shared" si="19"/>
        <v>25235.126326701702</v>
      </c>
      <c r="W59" s="37">
        <f t="shared" si="19"/>
        <v>25367.337262260866</v>
      </c>
      <c r="X59" s="37">
        <f t="shared" si="19"/>
        <v>25469.901911244538</v>
      </c>
      <c r="Y59" s="37">
        <f t="shared" si="19"/>
        <v>25554.898856243257</v>
      </c>
      <c r="Z59" s="37">
        <f t="shared" si="19"/>
        <v>25611.493091029759</v>
      </c>
      <c r="AA59" s="37">
        <f t="shared" si="19"/>
        <v>25635.965223476349</v>
      </c>
      <c r="AB59" s="37">
        <f t="shared" si="19"/>
        <v>25628.992861610914</v>
      </c>
    </row>
    <row r="60" spans="1:28" x14ac:dyDescent="0.25">
      <c r="A60" s="4" t="s">
        <v>217</v>
      </c>
      <c r="B60" s="37">
        <f t="shared" ref="B60:AB60" si="20">B40*B15*$F$6</f>
        <v>26654.829599523335</v>
      </c>
      <c r="C60" s="37">
        <f t="shared" si="20"/>
        <v>26997.173485096362</v>
      </c>
      <c r="D60" s="37">
        <f t="shared" si="20"/>
        <v>27474.399631025692</v>
      </c>
      <c r="E60" s="37">
        <f t="shared" si="20"/>
        <v>27957.993345254232</v>
      </c>
      <c r="F60" s="37">
        <f t="shared" si="20"/>
        <v>28453.745194607975</v>
      </c>
      <c r="G60" s="37">
        <f t="shared" si="20"/>
        <v>28961.873459878294</v>
      </c>
      <c r="H60" s="37">
        <f t="shared" si="20"/>
        <v>29483.548752885326</v>
      </c>
      <c r="I60" s="37">
        <f t="shared" si="20"/>
        <v>29810.717061666317</v>
      </c>
      <c r="J60" s="37">
        <f t="shared" si="20"/>
        <v>30141.314850350951</v>
      </c>
      <c r="K60" s="37">
        <f t="shared" si="20"/>
        <v>30470.027860362829</v>
      </c>
      <c r="L60" s="37">
        <f t="shared" si="20"/>
        <v>30795.306207505339</v>
      </c>
      <c r="M60" s="37">
        <f t="shared" si="20"/>
        <v>31116.03555173874</v>
      </c>
      <c r="N60" s="37">
        <f t="shared" si="20"/>
        <v>31426.680095800235</v>
      </c>
      <c r="O60" s="37">
        <f t="shared" si="20"/>
        <v>31724.27257054242</v>
      </c>
      <c r="P60" s="37">
        <f t="shared" si="20"/>
        <v>32004.90721306012</v>
      </c>
      <c r="Q60" s="37">
        <f t="shared" si="20"/>
        <v>32264.493167243854</v>
      </c>
      <c r="R60" s="37">
        <f t="shared" si="20"/>
        <v>32499.148162632071</v>
      </c>
      <c r="S60" s="37">
        <f t="shared" si="20"/>
        <v>32668.982814771985</v>
      </c>
      <c r="T60" s="37">
        <f t="shared" si="20"/>
        <v>32809.238346925122</v>
      </c>
      <c r="U60" s="37">
        <f t="shared" si="20"/>
        <v>32920.127862432702</v>
      </c>
      <c r="V60" s="37">
        <f t="shared" si="20"/>
        <v>32993.154826556449</v>
      </c>
      <c r="W60" s="37">
        <f t="shared" si="20"/>
        <v>33026.156149841387</v>
      </c>
      <c r="X60" s="37">
        <f t="shared" si="20"/>
        <v>33020.150250783627</v>
      </c>
      <c r="Y60" s="37">
        <f t="shared" si="20"/>
        <v>32992.241347325238</v>
      </c>
      <c r="Z60" s="37">
        <f t="shared" si="20"/>
        <v>32927.838469031325</v>
      </c>
      <c r="AA60" s="37">
        <f t="shared" si="20"/>
        <v>32825.173046849704</v>
      </c>
      <c r="AB60" s="37">
        <f t="shared" si="20"/>
        <v>32687.309680007671</v>
      </c>
    </row>
    <row r="61" spans="1:28" x14ac:dyDescent="0.25">
      <c r="A61" s="4" t="s">
        <v>218</v>
      </c>
      <c r="B61" s="37">
        <f t="shared" ref="B61:AB61" si="21">B41*B15*$F$7</f>
        <v>11830.042567542991</v>
      </c>
      <c r="C61" s="37">
        <f t="shared" si="21"/>
        <v>11962.584307478159</v>
      </c>
      <c r="D61" s="37">
        <f t="shared" si="21"/>
        <v>12156.890302494761</v>
      </c>
      <c r="E61" s="37">
        <f t="shared" si="21"/>
        <v>12353.455025585114</v>
      </c>
      <c r="F61" s="37">
        <f t="shared" si="21"/>
        <v>12556.361470705948</v>
      </c>
      <c r="G61" s="37">
        <f t="shared" si="21"/>
        <v>12766.023048667928</v>
      </c>
      <c r="H61" s="37">
        <f t="shared" si="21"/>
        <v>12982.210702957413</v>
      </c>
      <c r="I61" s="37">
        <f t="shared" si="21"/>
        <v>13115.253848191624</v>
      </c>
      <c r="J61" s="37">
        <f t="shared" si="21"/>
        <v>13252.679760803678</v>
      </c>
      <c r="K61" s="37">
        <f t="shared" si="21"/>
        <v>13393.634640193615</v>
      </c>
      <c r="L61" s="37">
        <f t="shared" si="21"/>
        <v>13538.135200341538</v>
      </c>
      <c r="M61" s="37">
        <f t="shared" si="21"/>
        <v>13685.488417437151</v>
      </c>
      <c r="N61" s="37">
        <f t="shared" si="21"/>
        <v>13836.348377147668</v>
      </c>
      <c r="O61" s="37">
        <f t="shared" si="21"/>
        <v>13987.222834137887</v>
      </c>
      <c r="P61" s="37">
        <f t="shared" si="21"/>
        <v>14139.673254852774</v>
      </c>
      <c r="Q61" s="37">
        <f t="shared" si="21"/>
        <v>14290.846521154979</v>
      </c>
      <c r="R61" s="37">
        <f t="shared" si="21"/>
        <v>14440.433078354185</v>
      </c>
      <c r="S61" s="37">
        <f t="shared" si="21"/>
        <v>14571.85535556202</v>
      </c>
      <c r="T61" s="37">
        <f t="shared" si="21"/>
        <v>14698.611233440453</v>
      </c>
      <c r="U61" s="37">
        <f t="shared" si="21"/>
        <v>14820.959515234317</v>
      </c>
      <c r="V61" s="37">
        <f t="shared" si="21"/>
        <v>14937.204544192584</v>
      </c>
      <c r="W61" s="37">
        <f t="shared" si="21"/>
        <v>15044.621737149266</v>
      </c>
      <c r="X61" s="37">
        <f t="shared" si="21"/>
        <v>15142.261097430559</v>
      </c>
      <c r="Y61" s="37">
        <f t="shared" si="21"/>
        <v>15233.998448792699</v>
      </c>
      <c r="Z61" s="37">
        <f t="shared" si="21"/>
        <v>15315.670901950874</v>
      </c>
      <c r="AA61" s="37">
        <f t="shared" si="21"/>
        <v>15387.206990843528</v>
      </c>
      <c r="AB61" s="37">
        <f t="shared" si="21"/>
        <v>15447.074345592706</v>
      </c>
    </row>
    <row r="62" spans="1:28" x14ac:dyDescent="0.25">
      <c r="A62" s="4" t="s">
        <v>219</v>
      </c>
      <c r="B62" s="37">
        <f t="shared" ref="B62:AB62" si="22">B42*B15*$F$8</f>
        <v>530.80985224039443</v>
      </c>
      <c r="C62" s="37">
        <f t="shared" si="22"/>
        <v>541.22986938761528</v>
      </c>
      <c r="D62" s="37">
        <f t="shared" si="22"/>
        <v>554.82932135422038</v>
      </c>
      <c r="E62" s="37">
        <f t="shared" si="22"/>
        <v>569.33699110800251</v>
      </c>
      <c r="F62" s="37">
        <f t="shared" si="22"/>
        <v>584.92811989460233</v>
      </c>
      <c r="G62" s="37">
        <f t="shared" si="22"/>
        <v>601.60248952944403</v>
      </c>
      <c r="H62" s="37">
        <f t="shared" si="22"/>
        <v>619.4123205748615</v>
      </c>
      <c r="I62" s="37">
        <f t="shared" si="22"/>
        <v>634.01098996170958</v>
      </c>
      <c r="J62" s="37">
        <f t="shared" si="22"/>
        <v>649.22654199507201</v>
      </c>
      <c r="K62" s="37">
        <f t="shared" si="22"/>
        <v>664.92538831682441</v>
      </c>
      <c r="L62" s="37">
        <f t="shared" si="22"/>
        <v>681.27398974374557</v>
      </c>
      <c r="M62" s="37">
        <f t="shared" si="22"/>
        <v>698.13693705977551</v>
      </c>
      <c r="N62" s="37">
        <f t="shared" si="22"/>
        <v>715.42379406729219</v>
      </c>
      <c r="O62" s="37">
        <f t="shared" si="22"/>
        <v>733.00807110309188</v>
      </c>
      <c r="P62" s="37">
        <f t="shared" si="22"/>
        <v>750.82401292851148</v>
      </c>
      <c r="Q62" s="37">
        <f t="shared" si="22"/>
        <v>768.72983533038496</v>
      </c>
      <c r="R62" s="37">
        <f t="shared" si="22"/>
        <v>786.65628285721391</v>
      </c>
      <c r="S62" s="37">
        <f t="shared" si="22"/>
        <v>803.55253952876569</v>
      </c>
      <c r="T62" s="37">
        <f t="shared" si="22"/>
        <v>820.30867765686719</v>
      </c>
      <c r="U62" s="37">
        <f t="shared" si="22"/>
        <v>836.7491461324687</v>
      </c>
      <c r="V62" s="37">
        <f t="shared" si="22"/>
        <v>852.90395409020334</v>
      </c>
      <c r="W62" s="37">
        <f t="shared" si="22"/>
        <v>868.71789642310262</v>
      </c>
      <c r="X62" s="37">
        <f t="shared" si="22"/>
        <v>884.2661054344286</v>
      </c>
      <c r="Y62" s="37">
        <f t="shared" si="22"/>
        <v>899.49128364617513</v>
      </c>
      <c r="Z62" s="37">
        <f t="shared" si="22"/>
        <v>914.42168172714003</v>
      </c>
      <c r="AA62" s="37">
        <f t="shared" si="22"/>
        <v>929.0474172463729</v>
      </c>
      <c r="AB62" s="37">
        <f t="shared" si="22"/>
        <v>943.30138982733104</v>
      </c>
    </row>
    <row r="63" spans="1:28" x14ac:dyDescent="0.25">
      <c r="A63" s="4" t="s">
        <v>220</v>
      </c>
      <c r="B63" s="37">
        <f t="shared" ref="B63:AB63" si="23">B43*B15*$F$9</f>
        <v>594.61022442944807</v>
      </c>
      <c r="C63" s="37">
        <f t="shared" si="23"/>
        <v>605.43379277462213</v>
      </c>
      <c r="D63" s="37">
        <f t="shared" si="23"/>
        <v>619.90707545618079</v>
      </c>
      <c r="E63" s="37">
        <f t="shared" si="23"/>
        <v>635.62864187446746</v>
      </c>
      <c r="F63" s="37">
        <f t="shared" si="23"/>
        <v>651.55713042762306</v>
      </c>
      <c r="G63" s="37">
        <f t="shared" si="23"/>
        <v>668.62768448152713</v>
      </c>
      <c r="H63" s="37">
        <f t="shared" si="23"/>
        <v>686.24304537886815</v>
      </c>
      <c r="I63" s="37">
        <f t="shared" si="23"/>
        <v>699.46017841497746</v>
      </c>
      <c r="J63" s="37">
        <f t="shared" si="23"/>
        <v>712.93751247811383</v>
      </c>
      <c r="K63" s="37">
        <f t="shared" si="23"/>
        <v>727.43876199195381</v>
      </c>
      <c r="L63" s="37">
        <f t="shared" si="23"/>
        <v>742.25914193967151</v>
      </c>
      <c r="M63" s="37">
        <f t="shared" si="23"/>
        <v>757.62209798991171</v>
      </c>
      <c r="N63" s="37">
        <f t="shared" si="23"/>
        <v>773.19140896141414</v>
      </c>
      <c r="O63" s="37">
        <f t="shared" si="23"/>
        <v>789.02613233040324</v>
      </c>
      <c r="P63" s="37">
        <f t="shared" si="23"/>
        <v>805.33035281582238</v>
      </c>
      <c r="Q63" s="37">
        <f t="shared" si="23"/>
        <v>821.99473429597083</v>
      </c>
      <c r="R63" s="37">
        <f t="shared" si="23"/>
        <v>838.85946651767301</v>
      </c>
      <c r="S63" s="37">
        <f t="shared" si="23"/>
        <v>854.69497137521489</v>
      </c>
      <c r="T63" s="37">
        <f t="shared" si="23"/>
        <v>870.67138791094203</v>
      </c>
      <c r="U63" s="37">
        <f t="shared" si="23"/>
        <v>886.55898774239085</v>
      </c>
      <c r="V63" s="37">
        <f t="shared" si="23"/>
        <v>902.10291696288459</v>
      </c>
      <c r="W63" s="37">
        <f t="shared" si="23"/>
        <v>917.85462626268577</v>
      </c>
      <c r="X63" s="37">
        <f t="shared" si="23"/>
        <v>933.37013629896262</v>
      </c>
      <c r="Y63" s="37">
        <f t="shared" si="23"/>
        <v>948.91480755091334</v>
      </c>
      <c r="Z63" s="37">
        <f t="shared" si="23"/>
        <v>964.12343325886332</v>
      </c>
      <c r="AA63" s="37">
        <f t="shared" si="23"/>
        <v>979.13874532543775</v>
      </c>
      <c r="AB63" s="37">
        <f t="shared" si="23"/>
        <v>994.10883452548171</v>
      </c>
    </row>
    <row r="64" spans="1:28" x14ac:dyDescent="0.25">
      <c r="A64" s="4" t="s">
        <v>221</v>
      </c>
      <c r="B64" s="37">
        <f t="shared" ref="B64:AB64" si="24">B44*B15*$F$10</f>
        <v>1368.9481154434118</v>
      </c>
      <c r="C64" s="37">
        <f t="shared" si="24"/>
        <v>1411.8018601965236</v>
      </c>
      <c r="D64" s="37">
        <f t="shared" si="24"/>
        <v>1462.8476421747364</v>
      </c>
      <c r="E64" s="37">
        <f t="shared" si="24"/>
        <v>1515.329129009601</v>
      </c>
      <c r="F64" s="37">
        <f t="shared" si="24"/>
        <v>1569.2778437419784</v>
      </c>
      <c r="G64" s="37">
        <f t="shared" si="24"/>
        <v>1624.900990620795</v>
      </c>
      <c r="H64" s="37">
        <f t="shared" si="24"/>
        <v>1682.7480343897901</v>
      </c>
      <c r="I64" s="37">
        <f t="shared" si="24"/>
        <v>1730.9396110349558</v>
      </c>
      <c r="J64" s="37">
        <f t="shared" si="24"/>
        <v>1780.2618491359001</v>
      </c>
      <c r="K64" s="37">
        <f t="shared" si="24"/>
        <v>1831.1170779988863</v>
      </c>
      <c r="L64" s="37">
        <f t="shared" si="24"/>
        <v>1883.8059646198105</v>
      </c>
      <c r="M64" s="37">
        <f t="shared" si="24"/>
        <v>1937.8567873370773</v>
      </c>
      <c r="N64" s="37">
        <f t="shared" si="24"/>
        <v>1993.7640946513668</v>
      </c>
      <c r="O64" s="37">
        <f t="shared" si="24"/>
        <v>2051.1851665544586</v>
      </c>
      <c r="P64" s="37">
        <f t="shared" si="24"/>
        <v>2110.0211708295215</v>
      </c>
      <c r="Q64" s="37">
        <f t="shared" si="24"/>
        <v>2170.3572842680824</v>
      </c>
      <c r="R64" s="37">
        <f t="shared" si="24"/>
        <v>2231.7486848945009</v>
      </c>
      <c r="S64" s="37">
        <f t="shared" si="24"/>
        <v>2291.5655987279101</v>
      </c>
      <c r="T64" s="37">
        <f t="shared" si="24"/>
        <v>2352.2270115038482</v>
      </c>
      <c r="U64" s="37">
        <f t="shared" si="24"/>
        <v>2413.5678395733198</v>
      </c>
      <c r="V64" s="37">
        <f t="shared" si="24"/>
        <v>2475.2602122500089</v>
      </c>
      <c r="W64" s="37">
        <f t="shared" si="24"/>
        <v>2536.9589343839339</v>
      </c>
      <c r="X64" s="37">
        <f t="shared" si="24"/>
        <v>2598.9678660409331</v>
      </c>
      <c r="Y64" s="37">
        <f t="shared" si="24"/>
        <v>2660.7602413834743</v>
      </c>
      <c r="Z64" s="37">
        <f t="shared" si="24"/>
        <v>2722.298372009956</v>
      </c>
      <c r="AA64" s="37">
        <f t="shared" si="24"/>
        <v>2782.9706557051472</v>
      </c>
      <c r="AB64" s="37">
        <f t="shared" si="24"/>
        <v>2842.7034657357835</v>
      </c>
    </row>
    <row r="65" spans="1:28" x14ac:dyDescent="0.25">
      <c r="A65" s="4" t="s">
        <v>222</v>
      </c>
      <c r="B65" s="37">
        <f t="shared" ref="B65:AB65" si="25">B45*B15*$F$11</f>
        <v>41554.540174319554</v>
      </c>
      <c r="C65" s="37">
        <f t="shared" si="25"/>
        <v>42025.017866525588</v>
      </c>
      <c r="D65" s="37">
        <f t="shared" si="25"/>
        <v>42705.970714724521</v>
      </c>
      <c r="E65" s="37">
        <f t="shared" si="25"/>
        <v>43398.170741704205</v>
      </c>
      <c r="F65" s="37">
        <f t="shared" si="25"/>
        <v>44110.281142012675</v>
      </c>
      <c r="G65" s="37">
        <f t="shared" si="25"/>
        <v>44843.860623765446</v>
      </c>
      <c r="H65" s="37">
        <f t="shared" si="25"/>
        <v>45597.971504292429</v>
      </c>
      <c r="I65" s="37">
        <f t="shared" si="25"/>
        <v>46051.702368679136</v>
      </c>
      <c r="J65" s="37">
        <f t="shared" si="25"/>
        <v>46511.717623592223</v>
      </c>
      <c r="K65" s="37">
        <f t="shared" si="25"/>
        <v>46969.977263030334</v>
      </c>
      <c r="L65" s="37">
        <f t="shared" si="25"/>
        <v>47422.838239601828</v>
      </c>
      <c r="M65" s="37">
        <f t="shared" si="25"/>
        <v>47869.688620444489</v>
      </c>
      <c r="N65" s="37">
        <f t="shared" si="25"/>
        <v>48300.851999887134</v>
      </c>
      <c r="O65" s="37">
        <f t="shared" si="25"/>
        <v>48711.182250820144</v>
      </c>
      <c r="P65" s="37">
        <f t="shared" si="25"/>
        <v>49096.439502818546</v>
      </c>
      <c r="Q65" s="37">
        <f t="shared" si="25"/>
        <v>49448.650598432861</v>
      </c>
      <c r="R65" s="37">
        <f t="shared" si="25"/>
        <v>49763.046261458469</v>
      </c>
      <c r="S65" s="37">
        <f t="shared" si="25"/>
        <v>49978.122695811937</v>
      </c>
      <c r="T65" s="37">
        <f t="shared" si="25"/>
        <v>50147.40101309093</v>
      </c>
      <c r="U65" s="37">
        <f t="shared" si="25"/>
        <v>50270.734346809695</v>
      </c>
      <c r="V65" s="37">
        <f t="shared" si="25"/>
        <v>50336.165237033376</v>
      </c>
      <c r="W65" s="37">
        <f t="shared" si="25"/>
        <v>50341.162808389097</v>
      </c>
      <c r="X65" s="37">
        <f t="shared" si="25"/>
        <v>50285.291530721355</v>
      </c>
      <c r="Y65" s="37">
        <f t="shared" si="25"/>
        <v>50195.824800857226</v>
      </c>
      <c r="Z65" s="37">
        <f t="shared" si="25"/>
        <v>50050.163381462873</v>
      </c>
      <c r="AA65" s="37">
        <f t="shared" si="25"/>
        <v>49847.801396432777</v>
      </c>
      <c r="AB65" s="37">
        <f t="shared" si="25"/>
        <v>49592.469022754936</v>
      </c>
    </row>
    <row r="67" spans="1:28" x14ac:dyDescent="0.25">
      <c r="A67" s="4" t="s">
        <v>328</v>
      </c>
    </row>
    <row r="68" spans="1:28" x14ac:dyDescent="0.25">
      <c r="A68" s="4" t="s">
        <v>329</v>
      </c>
      <c r="B68" s="40">
        <f t="shared" ref="B68:AB68" si="26">B48+B49</f>
        <v>231.59536483268869</v>
      </c>
      <c r="C68" s="40">
        <f t="shared" si="26"/>
        <v>229.18540039430499</v>
      </c>
      <c r="D68" s="40">
        <f t="shared" si="26"/>
        <v>227.96482011044526</v>
      </c>
      <c r="E68" s="40">
        <f t="shared" si="26"/>
        <v>226.74945345843997</v>
      </c>
      <c r="F68" s="40">
        <f t="shared" si="26"/>
        <v>225.50012750496089</v>
      </c>
      <c r="G68" s="40">
        <f t="shared" si="26"/>
        <v>224.24509764723612</v>
      </c>
      <c r="H68" s="40">
        <f t="shared" si="26"/>
        <v>222.97207885292215</v>
      </c>
      <c r="I68" s="40">
        <f t="shared" si="26"/>
        <v>220.17858294350867</v>
      </c>
      <c r="J68" s="40">
        <f t="shared" si="26"/>
        <v>217.39438315075989</v>
      </c>
      <c r="K68" s="40">
        <f t="shared" si="26"/>
        <v>214.59470576118886</v>
      </c>
      <c r="L68" s="40">
        <f t="shared" si="26"/>
        <v>211.79621118061834</v>
      </c>
      <c r="M68" s="40">
        <f t="shared" si="26"/>
        <v>208.98246855532835</v>
      </c>
      <c r="N68" s="40">
        <f t="shared" si="26"/>
        <v>206.18011446007944</v>
      </c>
      <c r="O68" s="40">
        <f t="shared" si="26"/>
        <v>203.33969208346758</v>
      </c>
      <c r="P68" s="40">
        <f t="shared" si="26"/>
        <v>200.45531794878971</v>
      </c>
      <c r="Q68" s="40">
        <f t="shared" si="26"/>
        <v>197.5699889153114</v>
      </c>
      <c r="R68" s="40">
        <f t="shared" si="26"/>
        <v>194.65363705683603</v>
      </c>
      <c r="S68" s="40">
        <f t="shared" si="26"/>
        <v>191.52673599987088</v>
      </c>
      <c r="T68" s="40">
        <f t="shared" si="26"/>
        <v>188.4245326932695</v>
      </c>
      <c r="U68" s="40">
        <f t="shared" si="26"/>
        <v>185.3707766297199</v>
      </c>
      <c r="V68" s="40">
        <f t="shared" si="26"/>
        <v>182.38828390047988</v>
      </c>
      <c r="W68" s="40">
        <f t="shared" si="26"/>
        <v>179.47271525528291</v>
      </c>
      <c r="X68" s="40">
        <f t="shared" si="26"/>
        <v>176.68304872146723</v>
      </c>
      <c r="Y68" s="40">
        <f t="shared" si="26"/>
        <v>173.97961160866424</v>
      </c>
      <c r="Z68" s="40">
        <f t="shared" si="26"/>
        <v>171.35693353554691</v>
      </c>
      <c r="AA68" s="40">
        <f t="shared" si="26"/>
        <v>168.81293539034655</v>
      </c>
      <c r="AB68" s="40">
        <f t="shared" si="26"/>
        <v>166.37042207103781</v>
      </c>
    </row>
    <row r="69" spans="1:28" x14ac:dyDescent="0.25">
      <c r="A69" s="4" t="s">
        <v>330</v>
      </c>
      <c r="B69" s="40">
        <f t="shared" ref="B69:AB69" si="27">B50+B51+B52+B53</f>
        <v>282.3441322698713</v>
      </c>
      <c r="C69" s="40">
        <f t="shared" si="27"/>
        <v>278.6033177680884</v>
      </c>
      <c r="D69" s="40">
        <f t="shared" si="27"/>
        <v>276.34410705186411</v>
      </c>
      <c r="E69" s="40">
        <f t="shared" si="27"/>
        <v>274.03982968425134</v>
      </c>
      <c r="F69" s="40">
        <f t="shared" si="27"/>
        <v>271.6725251783148</v>
      </c>
      <c r="G69" s="40">
        <f t="shared" si="27"/>
        <v>269.31032353798872</v>
      </c>
      <c r="H69" s="40">
        <f t="shared" si="27"/>
        <v>266.86431221902012</v>
      </c>
      <c r="I69" s="40">
        <f t="shared" si="27"/>
        <v>262.64449805432116</v>
      </c>
      <c r="J69" s="40">
        <f t="shared" si="27"/>
        <v>258.4593147506327</v>
      </c>
      <c r="K69" s="40">
        <f t="shared" si="27"/>
        <v>254.28328548179809</v>
      </c>
      <c r="L69" s="40">
        <f t="shared" si="27"/>
        <v>250.18718383322749</v>
      </c>
      <c r="M69" s="40">
        <f t="shared" si="27"/>
        <v>246.17528605580122</v>
      </c>
      <c r="N69" s="40">
        <f t="shared" si="27"/>
        <v>242.19329019159844</v>
      </c>
      <c r="O69" s="40">
        <f t="shared" si="27"/>
        <v>238.2678041444666</v>
      </c>
      <c r="P69" s="40">
        <f t="shared" si="27"/>
        <v>234.34175987836915</v>
      </c>
      <c r="Q69" s="40">
        <f t="shared" si="27"/>
        <v>230.47421619148969</v>
      </c>
      <c r="R69" s="40">
        <f t="shared" si="27"/>
        <v>226.63567578435513</v>
      </c>
      <c r="S69" s="40">
        <f t="shared" si="27"/>
        <v>222.5636899514171</v>
      </c>
      <c r="T69" s="40">
        <f t="shared" si="27"/>
        <v>218.55652508936259</v>
      </c>
      <c r="U69" s="40">
        <f t="shared" si="27"/>
        <v>214.61758773163615</v>
      </c>
      <c r="V69" s="40">
        <f t="shared" si="27"/>
        <v>210.79396388243788</v>
      </c>
      <c r="W69" s="40">
        <f t="shared" si="27"/>
        <v>207.02205923347938</v>
      </c>
      <c r="X69" s="40">
        <f t="shared" si="27"/>
        <v>203.41316441296283</v>
      </c>
      <c r="Y69" s="40">
        <f t="shared" si="27"/>
        <v>199.94294009958952</v>
      </c>
      <c r="Z69" s="40">
        <f t="shared" si="27"/>
        <v>196.55916566296654</v>
      </c>
      <c r="AA69" s="40">
        <f t="shared" si="27"/>
        <v>193.29833139707472</v>
      </c>
      <c r="AB69" s="40">
        <f t="shared" si="27"/>
        <v>190.12393082385597</v>
      </c>
    </row>
    <row r="70" spans="1:28" x14ac:dyDescent="0.25">
      <c r="A70" s="4" t="s">
        <v>331</v>
      </c>
      <c r="B70" s="40">
        <f t="shared" ref="B70:AB70" si="28">B54+B55</f>
        <v>226.45905823502108</v>
      </c>
      <c r="C70" s="40">
        <f t="shared" si="28"/>
        <v>223.67666038877837</v>
      </c>
      <c r="D70" s="40">
        <f t="shared" si="28"/>
        <v>222.03316688391797</v>
      </c>
      <c r="E70" s="40">
        <f t="shared" si="28"/>
        <v>220.38104089419579</v>
      </c>
      <c r="F70" s="40">
        <f t="shared" si="28"/>
        <v>218.65416407232934</v>
      </c>
      <c r="G70" s="40">
        <f t="shared" si="28"/>
        <v>216.95587636099287</v>
      </c>
      <c r="H70" s="40">
        <f t="shared" si="28"/>
        <v>215.24118255354759</v>
      </c>
      <c r="I70" s="40">
        <f t="shared" si="28"/>
        <v>212.06697322945809</v>
      </c>
      <c r="J70" s="40">
        <f t="shared" si="28"/>
        <v>208.9148827887679</v>
      </c>
      <c r="K70" s="40">
        <f t="shared" si="28"/>
        <v>205.76131244776107</v>
      </c>
      <c r="L70" s="40">
        <f t="shared" si="28"/>
        <v>202.6317618921635</v>
      </c>
      <c r="M70" s="40">
        <f t="shared" si="28"/>
        <v>199.51019726379121</v>
      </c>
      <c r="N70" s="40">
        <f t="shared" si="28"/>
        <v>196.42670705864785</v>
      </c>
      <c r="O70" s="40">
        <f t="shared" si="28"/>
        <v>193.31905894952274</v>
      </c>
      <c r="P70" s="40">
        <f t="shared" si="28"/>
        <v>190.21647660918345</v>
      </c>
      <c r="Q70" s="40">
        <f t="shared" si="28"/>
        <v>187.13349929035172</v>
      </c>
      <c r="R70" s="40">
        <f t="shared" si="28"/>
        <v>184.06772998223448</v>
      </c>
      <c r="S70" s="40">
        <f t="shared" si="28"/>
        <v>180.79684286779934</v>
      </c>
      <c r="T70" s="40">
        <f t="shared" si="28"/>
        <v>177.58620781376388</v>
      </c>
      <c r="U70" s="40">
        <f t="shared" si="28"/>
        <v>174.46259018767833</v>
      </c>
      <c r="V70" s="40">
        <f t="shared" si="28"/>
        <v>171.41303896920235</v>
      </c>
      <c r="W70" s="40">
        <f t="shared" si="28"/>
        <v>168.48196948770718</v>
      </c>
      <c r="X70" s="40">
        <f t="shared" si="28"/>
        <v>165.64266419171963</v>
      </c>
      <c r="Y70" s="40">
        <f t="shared" si="28"/>
        <v>162.90548959628788</v>
      </c>
      <c r="Z70" s="40">
        <f t="shared" si="28"/>
        <v>160.25717111837548</v>
      </c>
      <c r="AA70" s="40">
        <f t="shared" si="28"/>
        <v>157.68472328200315</v>
      </c>
      <c r="AB70" s="40">
        <f t="shared" si="28"/>
        <v>155.2046217148976</v>
      </c>
    </row>
    <row r="71" spans="1:28" x14ac:dyDescent="0.25">
      <c r="A71" s="4" t="s">
        <v>332</v>
      </c>
      <c r="B71" s="40">
        <f t="shared" ref="B71:AB71" si="29">B58+B59</f>
        <v>39678.344125824951</v>
      </c>
      <c r="C71" s="40">
        <f t="shared" si="29"/>
        <v>40195.348583615356</v>
      </c>
      <c r="D71" s="40">
        <f t="shared" si="29"/>
        <v>40916.494594438213</v>
      </c>
      <c r="E71" s="40">
        <f t="shared" si="29"/>
        <v>41651.192738837548</v>
      </c>
      <c r="F71" s="40">
        <f t="shared" si="29"/>
        <v>42407.13777863999</v>
      </c>
      <c r="G71" s="40">
        <f t="shared" si="29"/>
        <v>43186.216731221721</v>
      </c>
      <c r="H71" s="40">
        <f t="shared" si="29"/>
        <v>43989.03801861695</v>
      </c>
      <c r="I71" s="40">
        <f t="shared" si="29"/>
        <v>44505.910573485045</v>
      </c>
      <c r="J71" s="40">
        <f t="shared" si="29"/>
        <v>45031.373176572466</v>
      </c>
      <c r="K71" s="40">
        <f t="shared" si="29"/>
        <v>45559.341671906994</v>
      </c>
      <c r="L71" s="40">
        <f t="shared" si="29"/>
        <v>46087.409203194111</v>
      </c>
      <c r="M71" s="40">
        <f t="shared" si="29"/>
        <v>46613.844092120096</v>
      </c>
      <c r="N71" s="40">
        <f t="shared" si="29"/>
        <v>47131.404866740166</v>
      </c>
      <c r="O71" s="40">
        <f t="shared" si="29"/>
        <v>47634.688549413811</v>
      </c>
      <c r="P71" s="40">
        <f t="shared" si="29"/>
        <v>48119.7758324604</v>
      </c>
      <c r="Q71" s="40">
        <f t="shared" si="29"/>
        <v>48579.836515436495</v>
      </c>
      <c r="R71" s="40">
        <f t="shared" si="29"/>
        <v>49009.620695400816</v>
      </c>
      <c r="S71" s="40">
        <f t="shared" si="29"/>
        <v>49348.809734450391</v>
      </c>
      <c r="T71" s="40">
        <f t="shared" si="29"/>
        <v>49650.152746260581</v>
      </c>
      <c r="U71" s="40">
        <f t="shared" si="29"/>
        <v>49913.057582559537</v>
      </c>
      <c r="V71" s="40">
        <f t="shared" si="29"/>
        <v>50126.274311323214</v>
      </c>
      <c r="W71" s="40">
        <f t="shared" si="29"/>
        <v>50286.639025822224</v>
      </c>
      <c r="X71" s="40">
        <f t="shared" si="29"/>
        <v>50394.572457975693</v>
      </c>
      <c r="Y71" s="40">
        <f t="shared" si="29"/>
        <v>50472.576182368459</v>
      </c>
      <c r="Z71" s="40">
        <f t="shared" si="29"/>
        <v>50500.810826300389</v>
      </c>
      <c r="AA71" s="40">
        <f t="shared" si="29"/>
        <v>50477.227317500539</v>
      </c>
      <c r="AB71" s="40">
        <f t="shared" si="29"/>
        <v>50404.872283002318</v>
      </c>
    </row>
    <row r="72" spans="1:28" x14ac:dyDescent="0.25">
      <c r="A72" s="4" t="s">
        <v>333</v>
      </c>
      <c r="B72" s="40">
        <f t="shared" ref="B72:AB72" si="30">B60+B61+B62+B63</f>
        <v>39610.292243736163</v>
      </c>
      <c r="C72" s="40">
        <f t="shared" si="30"/>
        <v>40106.421454736759</v>
      </c>
      <c r="D72" s="40">
        <f t="shared" si="30"/>
        <v>40806.02633033086</v>
      </c>
      <c r="E72" s="40">
        <f t="shared" si="30"/>
        <v>41516.41400382181</v>
      </c>
      <c r="F72" s="40">
        <f t="shared" si="30"/>
        <v>42246.591915636149</v>
      </c>
      <c r="G72" s="40">
        <f t="shared" si="30"/>
        <v>42998.126682557202</v>
      </c>
      <c r="H72" s="40">
        <f t="shared" si="30"/>
        <v>43771.414821796468</v>
      </c>
      <c r="I72" s="40">
        <f t="shared" si="30"/>
        <v>44259.442078234628</v>
      </c>
      <c r="J72" s="40">
        <f t="shared" si="30"/>
        <v>44756.158665627816</v>
      </c>
      <c r="K72" s="40">
        <f t="shared" si="30"/>
        <v>45256.02665086522</v>
      </c>
      <c r="L72" s="40">
        <f t="shared" si="30"/>
        <v>45756.974539530289</v>
      </c>
      <c r="M72" s="40">
        <f t="shared" si="30"/>
        <v>46257.283004225581</v>
      </c>
      <c r="N72" s="40">
        <f t="shared" si="30"/>
        <v>46751.643675976607</v>
      </c>
      <c r="O72" s="40">
        <f t="shared" si="30"/>
        <v>47233.529608113793</v>
      </c>
      <c r="P72" s="40">
        <f t="shared" si="30"/>
        <v>47700.734833657225</v>
      </c>
      <c r="Q72" s="40">
        <f t="shared" si="30"/>
        <v>48146.064258025188</v>
      </c>
      <c r="R72" s="40">
        <f t="shared" si="30"/>
        <v>48565.09699036114</v>
      </c>
      <c r="S72" s="40">
        <f t="shared" si="30"/>
        <v>48899.085681237986</v>
      </c>
      <c r="T72" s="40">
        <f t="shared" si="30"/>
        <v>49198.829645933387</v>
      </c>
      <c r="U72" s="40">
        <f t="shared" si="30"/>
        <v>49464.395511541879</v>
      </c>
      <c r="V72" s="40">
        <f t="shared" si="30"/>
        <v>49685.366241802119</v>
      </c>
      <c r="W72" s="40">
        <f t="shared" si="30"/>
        <v>49857.350409676445</v>
      </c>
      <c r="X72" s="40">
        <f t="shared" si="30"/>
        <v>49980.047589947571</v>
      </c>
      <c r="Y72" s="40">
        <f t="shared" si="30"/>
        <v>50074.645887315026</v>
      </c>
      <c r="Z72" s="40">
        <f t="shared" si="30"/>
        <v>50122.054485968198</v>
      </c>
      <c r="AA72" s="40">
        <f t="shared" si="30"/>
        <v>50120.566200265042</v>
      </c>
      <c r="AB72" s="40">
        <f t="shared" si="30"/>
        <v>50071.794249953185</v>
      </c>
    </row>
    <row r="73" spans="1:28" x14ac:dyDescent="0.25">
      <c r="A73" s="4" t="s">
        <v>334</v>
      </c>
      <c r="B73" s="40">
        <f t="shared" ref="B73:AB73" si="31">B64+B65</f>
        <v>42923.488289762965</v>
      </c>
      <c r="C73" s="40">
        <f t="shared" si="31"/>
        <v>43436.819726722111</v>
      </c>
      <c r="D73" s="40">
        <f t="shared" si="31"/>
        <v>44168.818356899254</v>
      </c>
      <c r="E73" s="40">
        <f t="shared" si="31"/>
        <v>44913.499870713807</v>
      </c>
      <c r="F73" s="40">
        <f t="shared" si="31"/>
        <v>45679.558985754651</v>
      </c>
      <c r="G73" s="40">
        <f t="shared" si="31"/>
        <v>46468.76161438624</v>
      </c>
      <c r="H73" s="40">
        <f t="shared" si="31"/>
        <v>47280.71953868222</v>
      </c>
      <c r="I73" s="40">
        <f t="shared" si="31"/>
        <v>47782.641979714092</v>
      </c>
      <c r="J73" s="40">
        <f t="shared" si="31"/>
        <v>48291.979472728126</v>
      </c>
      <c r="K73" s="40">
        <f t="shared" si="31"/>
        <v>48801.094341029224</v>
      </c>
      <c r="L73" s="40">
        <f t="shared" si="31"/>
        <v>49306.644204221637</v>
      </c>
      <c r="M73" s="40">
        <f t="shared" si="31"/>
        <v>49807.545407781567</v>
      </c>
      <c r="N73" s="40">
        <f t="shared" si="31"/>
        <v>50294.616094538498</v>
      </c>
      <c r="O73" s="40">
        <f t="shared" si="31"/>
        <v>50762.367417374604</v>
      </c>
      <c r="P73" s="40">
        <f t="shared" si="31"/>
        <v>51206.460673648071</v>
      </c>
      <c r="Q73" s="40">
        <f t="shared" si="31"/>
        <v>51619.007882700942</v>
      </c>
      <c r="R73" s="40">
        <f t="shared" si="31"/>
        <v>51994.794946352966</v>
      </c>
      <c r="S73" s="40">
        <f t="shared" si="31"/>
        <v>52269.688294539847</v>
      </c>
      <c r="T73" s="40">
        <f t="shared" si="31"/>
        <v>52499.628024594778</v>
      </c>
      <c r="U73" s="40">
        <f t="shared" si="31"/>
        <v>52684.302186383014</v>
      </c>
      <c r="V73" s="40">
        <f t="shared" si="31"/>
        <v>52811.425449283386</v>
      </c>
      <c r="W73" s="40">
        <f t="shared" si="31"/>
        <v>52878.12174277303</v>
      </c>
      <c r="X73" s="40">
        <f t="shared" si="31"/>
        <v>52884.259396762289</v>
      </c>
      <c r="Y73" s="40">
        <f t="shared" si="31"/>
        <v>52856.585042240702</v>
      </c>
      <c r="Z73" s="40">
        <f t="shared" si="31"/>
        <v>52772.461753472831</v>
      </c>
      <c r="AA73" s="40">
        <f t="shared" si="31"/>
        <v>52630.772052137923</v>
      </c>
      <c r="AB73" s="40">
        <f t="shared" si="31"/>
        <v>52435.172488490716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127.24373865392486</v>
      </c>
      <c r="C2" s="37">
        <f>BDbDT_calcs!C48</f>
        <v>125.80081786721928</v>
      </c>
      <c r="D2" s="37">
        <f>BDbDT_calcs!D48</f>
        <v>125.00496325790907</v>
      </c>
      <c r="E2" s="37">
        <f>BDbDT_calcs!E48</f>
        <v>124.21922009522352</v>
      </c>
      <c r="F2" s="37">
        <f>BDbDT_calcs!F48</f>
        <v>123.41751180505244</v>
      </c>
      <c r="G2" s="37">
        <f>BDbDT_calcs!G48</f>
        <v>122.60001820301324</v>
      </c>
      <c r="H2" s="37">
        <f>BDbDT_calcs!H48</f>
        <v>121.76754609068078</v>
      </c>
      <c r="I2" s="37">
        <f>BDbDT_calcs!I48</f>
        <v>120.16148543219957</v>
      </c>
      <c r="J2" s="37">
        <f>BDbDT_calcs!J48</f>
        <v>118.49586497921977</v>
      </c>
      <c r="K2" s="37">
        <f>BDbDT_calcs!K48</f>
        <v>116.87429129125661</v>
      </c>
      <c r="L2" s="37">
        <f>BDbDT_calcs!L48</f>
        <v>115.20287190985276</v>
      </c>
      <c r="M2" s="37">
        <f>BDbDT_calcs!M48</f>
        <v>113.57504423434931</v>
      </c>
      <c r="N2" s="37">
        <f>BDbDT_calcs!N48</f>
        <v>112.00323497595943</v>
      </c>
      <c r="O2" s="37">
        <f>BDbDT_calcs!O48</f>
        <v>110.30218261614611</v>
      </c>
      <c r="P2" s="37">
        <f>BDbDT_calcs!P48</f>
        <v>108.66970445630997</v>
      </c>
      <c r="Q2" s="37">
        <f>BDbDT_calcs!Q48</f>
        <v>106.98672505702604</v>
      </c>
      <c r="R2" s="37">
        <f>BDbDT_calcs!R48</f>
        <v>105.31809128506001</v>
      </c>
      <c r="S2" s="37">
        <f>BDbDT_calcs!S48</f>
        <v>103.51839153678158</v>
      </c>
      <c r="T2" s="37">
        <f>BDbDT_calcs!T48</f>
        <v>101.74734596400712</v>
      </c>
      <c r="U2" s="37">
        <f>BDbDT_calcs!U48</f>
        <v>100.00326344733412</v>
      </c>
      <c r="V2" s="37">
        <f>BDbDT_calcs!V48</f>
        <v>98.284194688253038</v>
      </c>
      <c r="W2" s="37">
        <f>BDbDT_calcs!W48</f>
        <v>96.60088173527798</v>
      </c>
      <c r="X2" s="37">
        <f>BDbDT_calcs!X48</f>
        <v>95.040199787497144</v>
      </c>
      <c r="Y2" s="37">
        <f>BDbDT_calcs!Y48</f>
        <v>93.498325471187172</v>
      </c>
      <c r="Z2" s="37">
        <f>BDbDT_calcs!Z48</f>
        <v>92.036661807055367</v>
      </c>
      <c r="AA2" s="37">
        <f>BDbDT_calcs!AA48</f>
        <v>90.602620729947802</v>
      </c>
      <c r="AB2" s="37">
        <f>BDbDT_calcs!AB48</f>
        <v>89.182035076890713</v>
      </c>
    </row>
    <row r="3" spans="1:28" x14ac:dyDescent="0.25">
      <c r="A3" s="4" t="s">
        <v>216</v>
      </c>
      <c r="B3" s="37">
        <f>BDbDT_calcs!B49</f>
        <v>104.35162617876384</v>
      </c>
      <c r="C3" s="37">
        <f>BDbDT_calcs!C49</f>
        <v>103.38458252708571</v>
      </c>
      <c r="D3" s="37">
        <f>BDbDT_calcs!D49</f>
        <v>102.95985685253619</v>
      </c>
      <c r="E3" s="37">
        <f>BDbDT_calcs!E49</f>
        <v>102.53023336321647</v>
      </c>
      <c r="F3" s="37">
        <f>BDbDT_calcs!F49</f>
        <v>102.08261569990844</v>
      </c>
      <c r="G3" s="37">
        <f>BDbDT_calcs!G49</f>
        <v>101.64507944422289</v>
      </c>
      <c r="H3" s="37">
        <f>BDbDT_calcs!H49</f>
        <v>101.20453276224136</v>
      </c>
      <c r="I3" s="37">
        <f>BDbDT_calcs!I49</f>
        <v>100.01709751130912</v>
      </c>
      <c r="J3" s="37">
        <f>BDbDT_calcs!J49</f>
        <v>98.898518171540118</v>
      </c>
      <c r="K3" s="37">
        <f>BDbDT_calcs!K49</f>
        <v>97.720414469932251</v>
      </c>
      <c r="L3" s="37">
        <f>BDbDT_calcs!L49</f>
        <v>96.593339270765597</v>
      </c>
      <c r="M3" s="37">
        <f>BDbDT_calcs!M49</f>
        <v>95.407424320979047</v>
      </c>
      <c r="N3" s="37">
        <f>BDbDT_calcs!N49</f>
        <v>94.176879484120022</v>
      </c>
      <c r="O3" s="37">
        <f>BDbDT_calcs!O49</f>
        <v>93.03750946732147</v>
      </c>
      <c r="P3" s="37">
        <f>BDbDT_calcs!P49</f>
        <v>91.78561349247974</v>
      </c>
      <c r="Q3" s="37">
        <f>BDbDT_calcs!Q49</f>
        <v>90.583263858285378</v>
      </c>
      <c r="R3" s="37">
        <f>BDbDT_calcs!R49</f>
        <v>89.33554577177604</v>
      </c>
      <c r="S3" s="37">
        <f>BDbDT_calcs!S49</f>
        <v>88.008344463089315</v>
      </c>
      <c r="T3" s="37">
        <f>BDbDT_calcs!T49</f>
        <v>86.677186729262388</v>
      </c>
      <c r="U3" s="37">
        <f>BDbDT_calcs!U49</f>
        <v>85.367513182385764</v>
      </c>
      <c r="V3" s="37">
        <f>BDbDT_calcs!V49</f>
        <v>84.104089212226839</v>
      </c>
      <c r="W3" s="37">
        <f>BDbDT_calcs!W49</f>
        <v>82.871833520004927</v>
      </c>
      <c r="X3" s="37">
        <f>BDbDT_calcs!X49</f>
        <v>81.642848933970072</v>
      </c>
      <c r="Y3" s="37">
        <f>BDbDT_calcs!Y49</f>
        <v>80.481286137477085</v>
      </c>
      <c r="Z3" s="37">
        <f>BDbDT_calcs!Z49</f>
        <v>79.320271728491548</v>
      </c>
      <c r="AA3" s="37">
        <f>BDbDT_calcs!AA49</f>
        <v>78.210314660398751</v>
      </c>
      <c r="AB3" s="37">
        <f>BDbDT_calcs!AB49</f>
        <v>77.188386994147109</v>
      </c>
    </row>
    <row r="4" spans="1:28" x14ac:dyDescent="0.25">
      <c r="A4" s="4" t="s">
        <v>217</v>
      </c>
      <c r="B4" s="37">
        <f>BDbDT_calcs!B50</f>
        <v>112.09053734701689</v>
      </c>
      <c r="C4" s="37">
        <f>BDbDT_calcs!C50</f>
        <v>110.92561177175769</v>
      </c>
      <c r="D4" s="37">
        <f>BDbDT_calcs!D50</f>
        <v>110.3542147507454</v>
      </c>
      <c r="E4" s="37">
        <f>BDbDT_calcs!E50</f>
        <v>109.76940367325075</v>
      </c>
      <c r="F4" s="37">
        <f>BDbDT_calcs!F50</f>
        <v>109.18335810071795</v>
      </c>
      <c r="G4" s="37">
        <f>BDbDT_calcs!G50</f>
        <v>108.60773782459229</v>
      </c>
      <c r="H4" s="37">
        <f>BDbDT_calcs!H50</f>
        <v>107.99776150745046</v>
      </c>
      <c r="I4" s="37">
        <f>BDbDT_calcs!I50</f>
        <v>106.6766985906536</v>
      </c>
      <c r="J4" s="37">
        <f>BDbDT_calcs!J50</f>
        <v>105.3287880214144</v>
      </c>
      <c r="K4" s="37">
        <f>BDbDT_calcs!K50</f>
        <v>103.96187572494111</v>
      </c>
      <c r="L4" s="37">
        <f>BDbDT_calcs!L50</f>
        <v>102.56504540225984</v>
      </c>
      <c r="M4" s="37">
        <f>BDbDT_calcs!M50</f>
        <v>101.13861516331114</v>
      </c>
      <c r="N4" s="37">
        <f>BDbDT_calcs!N50</f>
        <v>99.682752069965602</v>
      </c>
      <c r="O4" s="37">
        <f>BDbDT_calcs!O50</f>
        <v>98.164355688904038</v>
      </c>
      <c r="P4" s="37">
        <f>BDbDT_calcs!P50</f>
        <v>96.627871208970816</v>
      </c>
      <c r="Q4" s="37">
        <f>BDbDT_calcs!Q50</f>
        <v>95.061875986422905</v>
      </c>
      <c r="R4" s="37">
        <f>BDbDT_calcs!R50</f>
        <v>93.465921451234536</v>
      </c>
      <c r="S4" s="37">
        <f>BDbDT_calcs!S50</f>
        <v>91.756358705947989</v>
      </c>
      <c r="T4" s="37">
        <f>BDbDT_calcs!T50</f>
        <v>90.073182969430306</v>
      </c>
      <c r="U4" s="37">
        <f>BDbDT_calcs!U50</f>
        <v>88.414841331320318</v>
      </c>
      <c r="V4" s="37">
        <f>BDbDT_calcs!V50</f>
        <v>86.790329806303106</v>
      </c>
      <c r="W4" s="37">
        <f>BDbDT_calcs!W50</f>
        <v>85.2191536629485</v>
      </c>
      <c r="X4" s="37">
        <f>BDbDT_calcs!X50</f>
        <v>83.709871186608069</v>
      </c>
      <c r="Y4" s="37">
        <f>BDbDT_calcs!Y50</f>
        <v>82.239460273358489</v>
      </c>
      <c r="Z4" s="37">
        <f>BDbDT_calcs!Z50</f>
        <v>80.816776589780744</v>
      </c>
      <c r="AA4" s="37">
        <f>BDbDT_calcs!AA50</f>
        <v>79.461173939859876</v>
      </c>
      <c r="AB4" s="37">
        <f>BDbDT_calcs!AB50</f>
        <v>78.149672706841557</v>
      </c>
    </row>
    <row r="5" spans="1:28" x14ac:dyDescent="0.25">
      <c r="A5" s="4" t="s">
        <v>218</v>
      </c>
      <c r="B5" s="37">
        <f>BDbDT_calcs!B51</f>
        <v>153.01754980027349</v>
      </c>
      <c r="C5" s="37">
        <f>BDbDT_calcs!C51</f>
        <v>150.37951236383662</v>
      </c>
      <c r="D5" s="37">
        <f>BDbDT_calcs!D51</f>
        <v>148.56594181740223</v>
      </c>
      <c r="E5" s="37">
        <f>BDbDT_calcs!E51</f>
        <v>146.69652272441513</v>
      </c>
      <c r="F5" s="37">
        <f>BDbDT_calcs!F51</f>
        <v>144.77182073983465</v>
      </c>
      <c r="G5" s="37">
        <f>BDbDT_calcs!G51</f>
        <v>142.85711972756246</v>
      </c>
      <c r="H5" s="37">
        <f>BDbDT_calcs!H51</f>
        <v>140.85462431564011</v>
      </c>
      <c r="I5" s="37">
        <f>BDbDT_calcs!I51</f>
        <v>137.94622670367571</v>
      </c>
      <c r="J5" s="37">
        <f>BDbDT_calcs!J51</f>
        <v>135.08767204607793</v>
      </c>
      <c r="K5" s="37">
        <f>BDbDT_calcs!K51</f>
        <v>132.27289491253657</v>
      </c>
      <c r="L5" s="37">
        <f>BDbDT_calcs!L51</f>
        <v>129.56541896114746</v>
      </c>
      <c r="M5" s="37">
        <f>BDbDT_calcs!M51</f>
        <v>126.99547563018719</v>
      </c>
      <c r="N5" s="37">
        <f>BDbDT_calcs!N51</f>
        <v>124.46480705184597</v>
      </c>
      <c r="O5" s="37">
        <f>BDbDT_calcs!O51</f>
        <v>122.06789898339387</v>
      </c>
      <c r="P5" s="37">
        <f>BDbDT_calcs!P51</f>
        <v>119.7072511745297</v>
      </c>
      <c r="Q5" s="37">
        <f>BDbDT_calcs!Q51</f>
        <v>117.44471755173886</v>
      </c>
      <c r="R5" s="37">
        <f>BDbDT_calcs!R51</f>
        <v>115.24664577627324</v>
      </c>
      <c r="S5" s="37">
        <f>BDbDT_calcs!S51</f>
        <v>112.95063351704587</v>
      </c>
      <c r="T5" s="37">
        <f>BDbDT_calcs!T51</f>
        <v>110.72000095925458</v>
      </c>
      <c r="U5" s="37">
        <f>BDbDT_calcs!U51</f>
        <v>108.52124700939682</v>
      </c>
      <c r="V5" s="37">
        <f>BDbDT_calcs!V51</f>
        <v>106.41409468526042</v>
      </c>
      <c r="W5" s="37">
        <f>BDbDT_calcs!W51</f>
        <v>104.30290744877237</v>
      </c>
      <c r="X5" s="37">
        <f>BDbDT_calcs!X51</f>
        <v>102.27808390917814</v>
      </c>
      <c r="Y5" s="37">
        <f>BDbDT_calcs!Y51</f>
        <v>100.36799209680089</v>
      </c>
      <c r="Z5" s="37">
        <f>BDbDT_calcs!Z51</f>
        <v>98.478140811277868</v>
      </c>
      <c r="AA5" s="37">
        <f>BDbDT_calcs!AA51</f>
        <v>96.667563780906548</v>
      </c>
      <c r="AB5" s="37">
        <f>BDbDT_calcs!AB51</f>
        <v>94.873322675140628</v>
      </c>
    </row>
    <row r="6" spans="1:28" x14ac:dyDescent="0.25">
      <c r="A6" s="4" t="s">
        <v>219</v>
      </c>
      <c r="B6" s="37">
        <f>BDbDT_calcs!B52</f>
        <v>3.7506444878581542</v>
      </c>
      <c r="C6" s="37">
        <f>BDbDT_calcs!C52</f>
        <v>3.7493193434269783</v>
      </c>
      <c r="D6" s="37">
        <f>BDbDT_calcs!D52</f>
        <v>3.7675795486623307</v>
      </c>
      <c r="E6" s="37">
        <f>BDbDT_calcs!E52</f>
        <v>3.7906186258710006</v>
      </c>
      <c r="F6" s="37">
        <f>BDbDT_calcs!F52</f>
        <v>3.8141421357183733</v>
      </c>
      <c r="G6" s="37">
        <f>BDbDT_calcs!G52</f>
        <v>3.8381763753947085</v>
      </c>
      <c r="H6" s="37">
        <f>BDbDT_calcs!H52</f>
        <v>3.8627691981072698</v>
      </c>
      <c r="I6" s="37">
        <f>BDbDT_calcs!I52</f>
        <v>3.8613815536774934</v>
      </c>
      <c r="J6" s="37">
        <f>BDbDT_calcs!J52</f>
        <v>3.8606266112123202</v>
      </c>
      <c r="K6" s="37">
        <f>BDbDT_calcs!K52</f>
        <v>3.8690050034392729</v>
      </c>
      <c r="L6" s="37">
        <f>BDbDT_calcs!L52</f>
        <v>3.8692401477475507</v>
      </c>
      <c r="M6" s="37">
        <f>BDbDT_calcs!M52</f>
        <v>3.8700097883675442</v>
      </c>
      <c r="N6" s="37">
        <f>BDbDT_calcs!N52</f>
        <v>3.871322440275077</v>
      </c>
      <c r="O6" s="37">
        <f>BDbDT_calcs!O52</f>
        <v>3.8731870390545748</v>
      </c>
      <c r="P6" s="37">
        <f>BDbDT_calcs!P52</f>
        <v>3.8713815055503011</v>
      </c>
      <c r="Q6" s="37">
        <f>BDbDT_calcs!Q52</f>
        <v>3.8743704072178531</v>
      </c>
      <c r="R6" s="37">
        <f>BDbDT_calcs!R52</f>
        <v>3.8695100421702593</v>
      </c>
      <c r="S6" s="37">
        <f>BDbDT_calcs!S52</f>
        <v>3.8650011391078469</v>
      </c>
      <c r="T6" s="37">
        <f>BDbDT_calcs!T52</f>
        <v>3.8651807221636503</v>
      </c>
      <c r="U6" s="37">
        <f>BDbDT_calcs!U52</f>
        <v>3.8575334745393737</v>
      </c>
      <c r="V6" s="37">
        <f>BDbDT_calcs!V52</f>
        <v>3.8544947918200902</v>
      </c>
      <c r="W6" s="37">
        <f>BDbDT_calcs!W52</f>
        <v>3.85185151212568</v>
      </c>
      <c r="X6" s="37">
        <f>BDbDT_calcs!X52</f>
        <v>3.8454542941170433</v>
      </c>
      <c r="Y6" s="37">
        <f>BDbDT_calcs!Y52</f>
        <v>3.8475543098125398</v>
      </c>
      <c r="Z6" s="37">
        <f>BDbDT_calcs!Z52</f>
        <v>3.8417491996752222</v>
      </c>
      <c r="AA6" s="37">
        <f>BDbDT_calcs!AA52</f>
        <v>3.8361765206667475</v>
      </c>
      <c r="AB6" s="37">
        <f>BDbDT_calcs!AB52</f>
        <v>3.830784388088774</v>
      </c>
    </row>
    <row r="7" spans="1:28" x14ac:dyDescent="0.25">
      <c r="A7" s="4" t="s">
        <v>220</v>
      </c>
      <c r="B7" s="37">
        <f>BDbDT_calcs!B53</f>
        <v>13.485400634722815</v>
      </c>
      <c r="C7" s="37">
        <f>BDbDT_calcs!C53</f>
        <v>13.548874289067086</v>
      </c>
      <c r="D7" s="37">
        <f>BDbDT_calcs!D53</f>
        <v>13.656370935054177</v>
      </c>
      <c r="E7" s="37">
        <f>BDbDT_calcs!E53</f>
        <v>13.783284660714457</v>
      </c>
      <c r="F7" s="37">
        <f>BDbDT_calcs!F53</f>
        <v>13.903204202043829</v>
      </c>
      <c r="G7" s="37">
        <f>BDbDT_calcs!G53</f>
        <v>14.007289610439258</v>
      </c>
      <c r="H7" s="37">
        <f>BDbDT_calcs!H53</f>
        <v>14.149157197822275</v>
      </c>
      <c r="I7" s="37">
        <f>BDbDT_calcs!I53</f>
        <v>14.160191206314352</v>
      </c>
      <c r="J7" s="37">
        <f>BDbDT_calcs!J53</f>
        <v>14.182228071928073</v>
      </c>
      <c r="K7" s="37">
        <f>BDbDT_calcs!K53</f>
        <v>14.179509840881142</v>
      </c>
      <c r="L7" s="37">
        <f>BDbDT_calcs!L53</f>
        <v>14.187479322072654</v>
      </c>
      <c r="M7" s="37">
        <f>BDbDT_calcs!M53</f>
        <v>14.171185473935338</v>
      </c>
      <c r="N7" s="37">
        <f>BDbDT_calcs!N53</f>
        <v>14.174408629511788</v>
      </c>
      <c r="O7" s="37">
        <f>BDbDT_calcs!O53</f>
        <v>14.162362433114076</v>
      </c>
      <c r="P7" s="37">
        <f>BDbDT_calcs!P53</f>
        <v>14.135255989318344</v>
      </c>
      <c r="Q7" s="37">
        <f>BDbDT_calcs!Q53</f>
        <v>14.093252246110081</v>
      </c>
      <c r="R7" s="37">
        <f>BDbDT_calcs!R53</f>
        <v>14.053598514677118</v>
      </c>
      <c r="S7" s="37">
        <f>BDbDT_calcs!S53</f>
        <v>13.991696589315405</v>
      </c>
      <c r="T7" s="37">
        <f>BDbDT_calcs!T53</f>
        <v>13.89816043851409</v>
      </c>
      <c r="U7" s="37">
        <f>BDbDT_calcs!U53</f>
        <v>13.823965916379636</v>
      </c>
      <c r="V7" s="37">
        <f>BDbDT_calcs!V53</f>
        <v>13.735044599054255</v>
      </c>
      <c r="W7" s="37">
        <f>BDbDT_calcs!W53</f>
        <v>13.648146609632848</v>
      </c>
      <c r="X7" s="37">
        <f>BDbDT_calcs!X53</f>
        <v>13.579755023059558</v>
      </c>
      <c r="Y7" s="37">
        <f>BDbDT_calcs!Y53</f>
        <v>13.487933419617601</v>
      </c>
      <c r="Z7" s="37">
        <f>BDbDT_calcs!Z53</f>
        <v>13.422499062232674</v>
      </c>
      <c r="AA7" s="37">
        <f>BDbDT_calcs!AA53</f>
        <v>13.333417155641529</v>
      </c>
      <c r="AB7" s="37">
        <f>BDbDT_calcs!AB53</f>
        <v>13.270151053785</v>
      </c>
    </row>
    <row r="8" spans="1:28" x14ac:dyDescent="0.25">
      <c r="A8" s="4" t="s">
        <v>221</v>
      </c>
      <c r="B8" s="37">
        <f>BDbDT_calcs!B54</f>
        <v>21.024949863721638</v>
      </c>
      <c r="C8" s="37">
        <f>BDbDT_calcs!C54</f>
        <v>21.031790222734596</v>
      </c>
      <c r="D8" s="37">
        <f>BDbDT_calcs!D54</f>
        <v>21.159380707611895</v>
      </c>
      <c r="E8" s="37">
        <f>BDbDT_calcs!E54</f>
        <v>21.294909411114592</v>
      </c>
      <c r="F8" s="37">
        <f>BDbDT_calcs!F54</f>
        <v>21.449610770346798</v>
      </c>
      <c r="G8" s="37">
        <f>BDbDT_calcs!G54</f>
        <v>21.585311527845263</v>
      </c>
      <c r="H8" s="37">
        <f>BDbDT_calcs!H54</f>
        <v>21.718658582305888</v>
      </c>
      <c r="I8" s="37">
        <f>BDbDT_calcs!I54</f>
        <v>21.700473526286135</v>
      </c>
      <c r="J8" s="37">
        <f>BDbDT_calcs!J54</f>
        <v>21.675053892059413</v>
      </c>
      <c r="K8" s="37">
        <f>BDbDT_calcs!K54</f>
        <v>21.641834471269778</v>
      </c>
      <c r="L8" s="37">
        <f>BDbDT_calcs!L54</f>
        <v>21.595630655026618</v>
      </c>
      <c r="M8" s="37">
        <f>BDbDT_calcs!M54</f>
        <v>21.536697575808933</v>
      </c>
      <c r="N8" s="37">
        <f>BDbDT_calcs!N54</f>
        <v>21.465254213865421</v>
      </c>
      <c r="O8" s="37">
        <f>BDbDT_calcs!O54</f>
        <v>21.38150479240392</v>
      </c>
      <c r="P8" s="37">
        <f>BDbDT_calcs!P54</f>
        <v>21.269678736631274</v>
      </c>
      <c r="Q8" s="37">
        <f>BDbDT_calcs!Q54</f>
        <v>21.14592578092071</v>
      </c>
      <c r="R8" s="37">
        <f>BDbDT_calcs!R54</f>
        <v>20.994481197591153</v>
      </c>
      <c r="S8" s="37">
        <f>BDbDT_calcs!S54</f>
        <v>20.823250127287519</v>
      </c>
      <c r="T8" s="37">
        <f>BDbDT_calcs!T54</f>
        <v>20.635221248140102</v>
      </c>
      <c r="U8" s="37">
        <f>BDbDT_calcs!U54</f>
        <v>20.430403011622307</v>
      </c>
      <c r="V8" s="37">
        <f>BDbDT_calcs!V54</f>
        <v>20.229467442355144</v>
      </c>
      <c r="W8" s="37">
        <f>BDbDT_calcs!W54</f>
        <v>20.006234518566355</v>
      </c>
      <c r="X8" s="37">
        <f>BDbDT_calcs!X54</f>
        <v>19.812108766840232</v>
      </c>
      <c r="Y8" s="37">
        <f>BDbDT_calcs!Y54</f>
        <v>19.615796358448655</v>
      </c>
      <c r="Z8" s="37">
        <f>BDbDT_calcs!Z54</f>
        <v>19.422146514360602</v>
      </c>
      <c r="AA8" s="37">
        <f>BDbDT_calcs!AA54</f>
        <v>19.235939757923486</v>
      </c>
      <c r="AB8" s="37">
        <f>BDbDT_calcs!AB54</f>
        <v>19.061899902459132</v>
      </c>
    </row>
    <row r="9" spans="1:28" x14ac:dyDescent="0.25">
      <c r="A9" s="4" t="s">
        <v>222</v>
      </c>
      <c r="B9" s="37">
        <f>BDbDT_calcs!B55</f>
        <v>205.43410837129943</v>
      </c>
      <c r="C9" s="37">
        <f>BDbDT_calcs!C55</f>
        <v>202.64487016604377</v>
      </c>
      <c r="D9" s="37">
        <f>BDbDT_calcs!D55</f>
        <v>200.87378617630608</v>
      </c>
      <c r="E9" s="37">
        <f>BDbDT_calcs!E55</f>
        <v>199.0861314830812</v>
      </c>
      <c r="F9" s="37">
        <f>BDbDT_calcs!F55</f>
        <v>197.20455330198254</v>
      </c>
      <c r="G9" s="37">
        <f>BDbDT_calcs!G55</f>
        <v>195.37056483314763</v>
      </c>
      <c r="H9" s="37">
        <f>BDbDT_calcs!H55</f>
        <v>193.5225239712417</v>
      </c>
      <c r="I9" s="37">
        <f>BDbDT_calcs!I55</f>
        <v>190.36649970317194</v>
      </c>
      <c r="J9" s="37">
        <f>BDbDT_calcs!J55</f>
        <v>187.23982889670847</v>
      </c>
      <c r="K9" s="37">
        <f>BDbDT_calcs!K55</f>
        <v>184.11947797649128</v>
      </c>
      <c r="L9" s="37">
        <f>BDbDT_calcs!L55</f>
        <v>181.03613123713689</v>
      </c>
      <c r="M9" s="37">
        <f>BDbDT_calcs!M55</f>
        <v>177.97349968798227</v>
      </c>
      <c r="N9" s="37">
        <f>BDbDT_calcs!N55</f>
        <v>174.96145284478243</v>
      </c>
      <c r="O9" s="37">
        <f>BDbDT_calcs!O55</f>
        <v>171.93755415711883</v>
      </c>
      <c r="P9" s="37">
        <f>BDbDT_calcs!P55</f>
        <v>168.94679787255217</v>
      </c>
      <c r="Q9" s="37">
        <f>BDbDT_calcs!Q55</f>
        <v>165.987573509431</v>
      </c>
      <c r="R9" s="37">
        <f>BDbDT_calcs!R55</f>
        <v>163.07324878464334</v>
      </c>
      <c r="S9" s="37">
        <f>BDbDT_calcs!S55</f>
        <v>159.97359274051183</v>
      </c>
      <c r="T9" s="37">
        <f>BDbDT_calcs!T55</f>
        <v>156.95098656562377</v>
      </c>
      <c r="U9" s="37">
        <f>BDbDT_calcs!U55</f>
        <v>154.03218717605603</v>
      </c>
      <c r="V9" s="37">
        <f>BDbDT_calcs!V55</f>
        <v>151.1835715268472</v>
      </c>
      <c r="W9" s="37">
        <f>BDbDT_calcs!W55</f>
        <v>148.47573496914083</v>
      </c>
      <c r="X9" s="37">
        <f>BDbDT_calcs!X55</f>
        <v>145.83055542487941</v>
      </c>
      <c r="Y9" s="37">
        <f>BDbDT_calcs!Y55</f>
        <v>143.28969323783923</v>
      </c>
      <c r="Z9" s="37">
        <f>BDbDT_calcs!Z55</f>
        <v>140.83502460401488</v>
      </c>
      <c r="AA9" s="37">
        <f>BDbDT_calcs!AA55</f>
        <v>138.44878352407966</v>
      </c>
      <c r="AB9" s="37">
        <f>BDbDT_calcs!AB55</f>
        <v>136.14272181243845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20177.522734600032</v>
      </c>
      <c r="C2" s="37">
        <f>BDbDT_calcs!C58</f>
        <v>20466.486570279973</v>
      </c>
      <c r="D2" s="37">
        <f>BDbDT_calcs!D58</f>
        <v>20858.604938943456</v>
      </c>
      <c r="E2" s="37">
        <f>BDbDT_calcs!E58</f>
        <v>21252.441593601317</v>
      </c>
      <c r="F2" s="37">
        <f>BDbDT_calcs!F58</f>
        <v>21649.82902545073</v>
      </c>
      <c r="G2" s="37">
        <f>BDbDT_calcs!G58</f>
        <v>22051.428014298046</v>
      </c>
      <c r="H2" s="37">
        <f>BDbDT_calcs!H58</f>
        <v>22455.752236149514</v>
      </c>
      <c r="I2" s="37">
        <f>BDbDT_calcs!I58</f>
        <v>22705.129491463922</v>
      </c>
      <c r="J2" s="37">
        <f>BDbDT_calcs!J58</f>
        <v>22949.035400019315</v>
      </c>
      <c r="K2" s="37">
        <f>BDbDT_calcs!K58</f>
        <v>23187.149846086977</v>
      </c>
      <c r="L2" s="37">
        <f>BDbDT_calcs!L58</f>
        <v>23417.599539305054</v>
      </c>
      <c r="M2" s="37">
        <f>BDbDT_calcs!M58</f>
        <v>23640.093974022566</v>
      </c>
      <c r="N2" s="37">
        <f>BDbDT_calcs!N58</f>
        <v>23852.326832536968</v>
      </c>
      <c r="O2" s="37">
        <f>BDbDT_calcs!O58</f>
        <v>24053.525991542243</v>
      </c>
      <c r="P2" s="37">
        <f>BDbDT_calcs!P58</f>
        <v>24240.742658860137</v>
      </c>
      <c r="Q2" s="37">
        <f>BDbDT_calcs!Q58</f>
        <v>24413.638677976298</v>
      </c>
      <c r="R2" s="37">
        <f>BDbDT_calcs!R58</f>
        <v>24568.672072031943</v>
      </c>
      <c r="S2" s="37">
        <f>BDbDT_calcs!S58</f>
        <v>24678.02196639499</v>
      </c>
      <c r="T2" s="37">
        <f>BDbDT_calcs!T58</f>
        <v>24768.434297861659</v>
      </c>
      <c r="U2" s="37">
        <f>BDbDT_calcs!U58</f>
        <v>24841.409939710364</v>
      </c>
      <c r="V2" s="37">
        <f>BDbDT_calcs!V58</f>
        <v>24891.147984621512</v>
      </c>
      <c r="W2" s="37">
        <f>BDbDT_calcs!W58</f>
        <v>24919.301763561354</v>
      </c>
      <c r="X2" s="37">
        <f>BDbDT_calcs!X58</f>
        <v>24924.670546731155</v>
      </c>
      <c r="Y2" s="37">
        <f>BDbDT_calcs!Y58</f>
        <v>24917.677326125206</v>
      </c>
      <c r="Z2" s="37">
        <f>BDbDT_calcs!Z58</f>
        <v>24889.31773527063</v>
      </c>
      <c r="AA2" s="37">
        <f>BDbDT_calcs!AA58</f>
        <v>24841.26209402419</v>
      </c>
      <c r="AB2" s="37">
        <f>BDbDT_calcs!AB58</f>
        <v>24775.879421391401</v>
      </c>
    </row>
    <row r="3" spans="1:28" x14ac:dyDescent="0.25">
      <c r="A3" s="4" t="s">
        <v>216</v>
      </c>
      <c r="B3" s="37">
        <f>BDbDT_calcs!B59</f>
        <v>19500.821391224916</v>
      </c>
      <c r="C3" s="37">
        <f>BDbDT_calcs!C59</f>
        <v>19728.862013335383</v>
      </c>
      <c r="D3" s="37">
        <f>BDbDT_calcs!D59</f>
        <v>20057.889655494757</v>
      </c>
      <c r="E3" s="37">
        <f>BDbDT_calcs!E59</f>
        <v>20398.751145236234</v>
      </c>
      <c r="F3" s="37">
        <f>BDbDT_calcs!F59</f>
        <v>20757.30875318926</v>
      </c>
      <c r="G3" s="37">
        <f>BDbDT_calcs!G59</f>
        <v>21134.788716923671</v>
      </c>
      <c r="H3" s="37">
        <f>BDbDT_calcs!H59</f>
        <v>21533.285782467432</v>
      </c>
      <c r="I3" s="37">
        <f>BDbDT_calcs!I59</f>
        <v>21800.78108202112</v>
      </c>
      <c r="J3" s="37">
        <f>BDbDT_calcs!J59</f>
        <v>22082.337776553148</v>
      </c>
      <c r="K3" s="37">
        <f>BDbDT_calcs!K59</f>
        <v>22372.191825820013</v>
      </c>
      <c r="L3" s="37">
        <f>BDbDT_calcs!L59</f>
        <v>22669.809663889053</v>
      </c>
      <c r="M3" s="37">
        <f>BDbDT_calcs!M59</f>
        <v>22973.750118097531</v>
      </c>
      <c r="N3" s="37">
        <f>BDbDT_calcs!N59</f>
        <v>23279.078034203194</v>
      </c>
      <c r="O3" s="37">
        <f>BDbDT_calcs!O59</f>
        <v>23581.162557871565</v>
      </c>
      <c r="P3" s="37">
        <f>BDbDT_calcs!P59</f>
        <v>23879.033173600263</v>
      </c>
      <c r="Q3" s="37">
        <f>BDbDT_calcs!Q59</f>
        <v>24166.197837460197</v>
      </c>
      <c r="R3" s="37">
        <f>BDbDT_calcs!R59</f>
        <v>24440.948623368873</v>
      </c>
      <c r="S3" s="37">
        <f>BDbDT_calcs!S59</f>
        <v>24670.787768055397</v>
      </c>
      <c r="T3" s="37">
        <f>BDbDT_calcs!T59</f>
        <v>24881.718448398922</v>
      </c>
      <c r="U3" s="37">
        <f>BDbDT_calcs!U59</f>
        <v>25071.647642849173</v>
      </c>
      <c r="V3" s="37">
        <f>BDbDT_calcs!V59</f>
        <v>25235.126326701702</v>
      </c>
      <c r="W3" s="37">
        <f>BDbDT_calcs!W59</f>
        <v>25367.337262260866</v>
      </c>
      <c r="X3" s="37">
        <f>BDbDT_calcs!X59</f>
        <v>25469.901911244538</v>
      </c>
      <c r="Y3" s="37">
        <f>BDbDT_calcs!Y59</f>
        <v>25554.898856243257</v>
      </c>
      <c r="Z3" s="37">
        <f>BDbDT_calcs!Z59</f>
        <v>25611.493091029759</v>
      </c>
      <c r="AA3" s="37">
        <f>BDbDT_calcs!AA59</f>
        <v>25635.965223476349</v>
      </c>
      <c r="AB3" s="37">
        <f>BDbDT_calcs!AB59</f>
        <v>25628.992861610914</v>
      </c>
    </row>
    <row r="4" spans="1:28" x14ac:dyDescent="0.25">
      <c r="A4" s="4" t="s">
        <v>217</v>
      </c>
      <c r="B4" s="37">
        <f>BDbDT_calcs!B60</f>
        <v>26654.829599523335</v>
      </c>
      <c r="C4" s="37">
        <f>BDbDT_calcs!C60</f>
        <v>26997.173485096362</v>
      </c>
      <c r="D4" s="37">
        <f>BDbDT_calcs!D60</f>
        <v>27474.399631025692</v>
      </c>
      <c r="E4" s="37">
        <f>BDbDT_calcs!E60</f>
        <v>27957.993345254232</v>
      </c>
      <c r="F4" s="37">
        <f>BDbDT_calcs!F60</f>
        <v>28453.745194607975</v>
      </c>
      <c r="G4" s="37">
        <f>BDbDT_calcs!G60</f>
        <v>28961.873459878294</v>
      </c>
      <c r="H4" s="37">
        <f>BDbDT_calcs!H60</f>
        <v>29483.548752885326</v>
      </c>
      <c r="I4" s="37">
        <f>BDbDT_calcs!I60</f>
        <v>29810.717061666317</v>
      </c>
      <c r="J4" s="37">
        <f>BDbDT_calcs!J60</f>
        <v>30141.314850350951</v>
      </c>
      <c r="K4" s="37">
        <f>BDbDT_calcs!K60</f>
        <v>30470.027860362829</v>
      </c>
      <c r="L4" s="37">
        <f>BDbDT_calcs!L60</f>
        <v>30795.306207505339</v>
      </c>
      <c r="M4" s="37">
        <f>BDbDT_calcs!M60</f>
        <v>31116.03555173874</v>
      </c>
      <c r="N4" s="37">
        <f>BDbDT_calcs!N60</f>
        <v>31426.680095800235</v>
      </c>
      <c r="O4" s="37">
        <f>BDbDT_calcs!O60</f>
        <v>31724.27257054242</v>
      </c>
      <c r="P4" s="37">
        <f>BDbDT_calcs!P60</f>
        <v>32004.90721306012</v>
      </c>
      <c r="Q4" s="37">
        <f>BDbDT_calcs!Q60</f>
        <v>32264.493167243854</v>
      </c>
      <c r="R4" s="37">
        <f>BDbDT_calcs!R60</f>
        <v>32499.148162632071</v>
      </c>
      <c r="S4" s="37">
        <f>BDbDT_calcs!S60</f>
        <v>32668.982814771985</v>
      </c>
      <c r="T4" s="37">
        <f>BDbDT_calcs!T60</f>
        <v>32809.238346925122</v>
      </c>
      <c r="U4" s="37">
        <f>BDbDT_calcs!U60</f>
        <v>32920.127862432702</v>
      </c>
      <c r="V4" s="37">
        <f>BDbDT_calcs!V60</f>
        <v>32993.154826556449</v>
      </c>
      <c r="W4" s="37">
        <f>BDbDT_calcs!W60</f>
        <v>33026.156149841387</v>
      </c>
      <c r="X4" s="37">
        <f>BDbDT_calcs!X60</f>
        <v>33020.150250783627</v>
      </c>
      <c r="Y4" s="37">
        <f>BDbDT_calcs!Y60</f>
        <v>32992.241347325238</v>
      </c>
      <c r="Z4" s="37">
        <f>BDbDT_calcs!Z60</f>
        <v>32927.838469031325</v>
      </c>
      <c r="AA4" s="37">
        <f>BDbDT_calcs!AA60</f>
        <v>32825.173046849704</v>
      </c>
      <c r="AB4" s="37">
        <f>BDbDT_calcs!AB60</f>
        <v>32687.309680007671</v>
      </c>
    </row>
    <row r="5" spans="1:28" x14ac:dyDescent="0.25">
      <c r="A5" s="4" t="s">
        <v>218</v>
      </c>
      <c r="B5" s="37">
        <f>BDbDT_calcs!B61</f>
        <v>11830.042567542991</v>
      </c>
      <c r="C5" s="37">
        <f>BDbDT_calcs!C61</f>
        <v>11962.584307478159</v>
      </c>
      <c r="D5" s="37">
        <f>BDbDT_calcs!D61</f>
        <v>12156.890302494761</v>
      </c>
      <c r="E5" s="37">
        <f>BDbDT_calcs!E61</f>
        <v>12353.455025585114</v>
      </c>
      <c r="F5" s="37">
        <f>BDbDT_calcs!F61</f>
        <v>12556.361470705948</v>
      </c>
      <c r="G5" s="37">
        <f>BDbDT_calcs!G61</f>
        <v>12766.023048667928</v>
      </c>
      <c r="H5" s="37">
        <f>BDbDT_calcs!H61</f>
        <v>12982.210702957413</v>
      </c>
      <c r="I5" s="37">
        <f>BDbDT_calcs!I61</f>
        <v>13115.253848191624</v>
      </c>
      <c r="J5" s="37">
        <f>BDbDT_calcs!J61</f>
        <v>13252.679760803678</v>
      </c>
      <c r="K5" s="37">
        <f>BDbDT_calcs!K61</f>
        <v>13393.634640193615</v>
      </c>
      <c r="L5" s="37">
        <f>BDbDT_calcs!L61</f>
        <v>13538.135200341538</v>
      </c>
      <c r="M5" s="37">
        <f>BDbDT_calcs!M61</f>
        <v>13685.488417437151</v>
      </c>
      <c r="N5" s="37">
        <f>BDbDT_calcs!N61</f>
        <v>13836.348377147668</v>
      </c>
      <c r="O5" s="37">
        <f>BDbDT_calcs!O61</f>
        <v>13987.222834137887</v>
      </c>
      <c r="P5" s="37">
        <f>BDbDT_calcs!P61</f>
        <v>14139.673254852774</v>
      </c>
      <c r="Q5" s="37">
        <f>BDbDT_calcs!Q61</f>
        <v>14290.846521154979</v>
      </c>
      <c r="R5" s="37">
        <f>BDbDT_calcs!R61</f>
        <v>14440.433078354185</v>
      </c>
      <c r="S5" s="37">
        <f>BDbDT_calcs!S61</f>
        <v>14571.85535556202</v>
      </c>
      <c r="T5" s="37">
        <f>BDbDT_calcs!T61</f>
        <v>14698.611233440453</v>
      </c>
      <c r="U5" s="37">
        <f>BDbDT_calcs!U61</f>
        <v>14820.959515234317</v>
      </c>
      <c r="V5" s="37">
        <f>BDbDT_calcs!V61</f>
        <v>14937.204544192584</v>
      </c>
      <c r="W5" s="37">
        <f>BDbDT_calcs!W61</f>
        <v>15044.621737149266</v>
      </c>
      <c r="X5" s="37">
        <f>BDbDT_calcs!X61</f>
        <v>15142.261097430559</v>
      </c>
      <c r="Y5" s="37">
        <f>BDbDT_calcs!Y61</f>
        <v>15233.998448792699</v>
      </c>
      <c r="Z5" s="37">
        <f>BDbDT_calcs!Z61</f>
        <v>15315.670901950874</v>
      </c>
      <c r="AA5" s="37">
        <f>BDbDT_calcs!AA61</f>
        <v>15387.206990843528</v>
      </c>
      <c r="AB5" s="37">
        <f>BDbDT_calcs!AB61</f>
        <v>15447.074345592706</v>
      </c>
    </row>
    <row r="6" spans="1:28" x14ac:dyDescent="0.25">
      <c r="A6" s="4" t="s">
        <v>219</v>
      </c>
      <c r="B6" s="37">
        <f>BDbDT_calcs!B62</f>
        <v>530.80985224039443</v>
      </c>
      <c r="C6" s="37">
        <f>BDbDT_calcs!C62</f>
        <v>541.22986938761528</v>
      </c>
      <c r="D6" s="37">
        <f>BDbDT_calcs!D62</f>
        <v>554.82932135422038</v>
      </c>
      <c r="E6" s="37">
        <f>BDbDT_calcs!E62</f>
        <v>569.33699110800251</v>
      </c>
      <c r="F6" s="37">
        <f>BDbDT_calcs!F62</f>
        <v>584.92811989460233</v>
      </c>
      <c r="G6" s="37">
        <f>BDbDT_calcs!G62</f>
        <v>601.60248952944403</v>
      </c>
      <c r="H6" s="37">
        <f>BDbDT_calcs!H62</f>
        <v>619.4123205748615</v>
      </c>
      <c r="I6" s="37">
        <f>BDbDT_calcs!I62</f>
        <v>634.01098996170958</v>
      </c>
      <c r="J6" s="37">
        <f>BDbDT_calcs!J62</f>
        <v>649.22654199507201</v>
      </c>
      <c r="K6" s="37">
        <f>BDbDT_calcs!K62</f>
        <v>664.92538831682441</v>
      </c>
      <c r="L6" s="37">
        <f>BDbDT_calcs!L62</f>
        <v>681.27398974374557</v>
      </c>
      <c r="M6" s="37">
        <f>BDbDT_calcs!M62</f>
        <v>698.13693705977551</v>
      </c>
      <c r="N6" s="37">
        <f>BDbDT_calcs!N62</f>
        <v>715.42379406729219</v>
      </c>
      <c r="O6" s="37">
        <f>BDbDT_calcs!O62</f>
        <v>733.00807110309188</v>
      </c>
      <c r="P6" s="37">
        <f>BDbDT_calcs!P62</f>
        <v>750.82401292851148</v>
      </c>
      <c r="Q6" s="37">
        <f>BDbDT_calcs!Q62</f>
        <v>768.72983533038496</v>
      </c>
      <c r="R6" s="37">
        <f>BDbDT_calcs!R62</f>
        <v>786.65628285721391</v>
      </c>
      <c r="S6" s="37">
        <f>BDbDT_calcs!S62</f>
        <v>803.55253952876569</v>
      </c>
      <c r="T6" s="37">
        <f>BDbDT_calcs!T62</f>
        <v>820.30867765686719</v>
      </c>
      <c r="U6" s="37">
        <f>BDbDT_calcs!U62</f>
        <v>836.7491461324687</v>
      </c>
      <c r="V6" s="37">
        <f>BDbDT_calcs!V62</f>
        <v>852.90395409020334</v>
      </c>
      <c r="W6" s="37">
        <f>BDbDT_calcs!W62</f>
        <v>868.71789642310262</v>
      </c>
      <c r="X6" s="37">
        <f>BDbDT_calcs!X62</f>
        <v>884.2661054344286</v>
      </c>
      <c r="Y6" s="37">
        <f>BDbDT_calcs!Y62</f>
        <v>899.49128364617513</v>
      </c>
      <c r="Z6" s="37">
        <f>BDbDT_calcs!Z62</f>
        <v>914.42168172714003</v>
      </c>
      <c r="AA6" s="37">
        <f>BDbDT_calcs!AA62</f>
        <v>929.0474172463729</v>
      </c>
      <c r="AB6" s="37">
        <f>BDbDT_calcs!AB62</f>
        <v>943.30138982733104</v>
      </c>
    </row>
    <row r="7" spans="1:28" x14ac:dyDescent="0.25">
      <c r="A7" s="4" t="s">
        <v>220</v>
      </c>
      <c r="B7" s="37">
        <f>BDbDT_calcs!B63</f>
        <v>594.61022442944807</v>
      </c>
      <c r="C7" s="37">
        <f>BDbDT_calcs!C63</f>
        <v>605.43379277462213</v>
      </c>
      <c r="D7" s="37">
        <f>BDbDT_calcs!D63</f>
        <v>619.90707545618079</v>
      </c>
      <c r="E7" s="37">
        <f>BDbDT_calcs!E63</f>
        <v>635.62864187446746</v>
      </c>
      <c r="F7" s="37">
        <f>BDbDT_calcs!F63</f>
        <v>651.55713042762306</v>
      </c>
      <c r="G7" s="37">
        <f>BDbDT_calcs!G63</f>
        <v>668.62768448152713</v>
      </c>
      <c r="H7" s="37">
        <f>BDbDT_calcs!H63</f>
        <v>686.24304537886815</v>
      </c>
      <c r="I7" s="37">
        <f>BDbDT_calcs!I63</f>
        <v>699.46017841497746</v>
      </c>
      <c r="J7" s="37">
        <f>BDbDT_calcs!J63</f>
        <v>712.93751247811383</v>
      </c>
      <c r="K7" s="37">
        <f>BDbDT_calcs!K63</f>
        <v>727.43876199195381</v>
      </c>
      <c r="L7" s="37">
        <f>BDbDT_calcs!L63</f>
        <v>742.25914193967151</v>
      </c>
      <c r="M7" s="37">
        <f>BDbDT_calcs!M63</f>
        <v>757.62209798991171</v>
      </c>
      <c r="N7" s="37">
        <f>BDbDT_calcs!N63</f>
        <v>773.19140896141414</v>
      </c>
      <c r="O7" s="37">
        <f>BDbDT_calcs!O63</f>
        <v>789.02613233040324</v>
      </c>
      <c r="P7" s="37">
        <f>BDbDT_calcs!P63</f>
        <v>805.33035281582238</v>
      </c>
      <c r="Q7" s="37">
        <f>BDbDT_calcs!Q63</f>
        <v>821.99473429597083</v>
      </c>
      <c r="R7" s="37">
        <f>BDbDT_calcs!R63</f>
        <v>838.85946651767301</v>
      </c>
      <c r="S7" s="37">
        <f>BDbDT_calcs!S63</f>
        <v>854.69497137521489</v>
      </c>
      <c r="T7" s="37">
        <f>BDbDT_calcs!T63</f>
        <v>870.67138791094203</v>
      </c>
      <c r="U7" s="37">
        <f>BDbDT_calcs!U63</f>
        <v>886.55898774239085</v>
      </c>
      <c r="V7" s="37">
        <f>BDbDT_calcs!V63</f>
        <v>902.10291696288459</v>
      </c>
      <c r="W7" s="37">
        <f>BDbDT_calcs!W63</f>
        <v>917.85462626268577</v>
      </c>
      <c r="X7" s="37">
        <f>BDbDT_calcs!X63</f>
        <v>933.37013629896262</v>
      </c>
      <c r="Y7" s="37">
        <f>BDbDT_calcs!Y63</f>
        <v>948.91480755091334</v>
      </c>
      <c r="Z7" s="37">
        <f>BDbDT_calcs!Z63</f>
        <v>964.12343325886332</v>
      </c>
      <c r="AA7" s="37">
        <f>BDbDT_calcs!AA63</f>
        <v>979.13874532543775</v>
      </c>
      <c r="AB7" s="37">
        <f>BDbDT_calcs!AB63</f>
        <v>994.10883452548171</v>
      </c>
    </row>
    <row r="8" spans="1:28" x14ac:dyDescent="0.25">
      <c r="A8" s="4" t="s">
        <v>221</v>
      </c>
      <c r="B8" s="37">
        <f>BDbDT_calcs!B64</f>
        <v>1368.9481154434118</v>
      </c>
      <c r="C8" s="37">
        <f>BDbDT_calcs!C64</f>
        <v>1411.8018601965236</v>
      </c>
      <c r="D8" s="37">
        <f>BDbDT_calcs!D64</f>
        <v>1462.8476421747364</v>
      </c>
      <c r="E8" s="37">
        <f>BDbDT_calcs!E64</f>
        <v>1515.329129009601</v>
      </c>
      <c r="F8" s="37">
        <f>BDbDT_calcs!F64</f>
        <v>1569.2778437419784</v>
      </c>
      <c r="G8" s="37">
        <f>BDbDT_calcs!G64</f>
        <v>1624.900990620795</v>
      </c>
      <c r="H8" s="37">
        <f>BDbDT_calcs!H64</f>
        <v>1682.7480343897901</v>
      </c>
      <c r="I8" s="37">
        <f>BDbDT_calcs!I64</f>
        <v>1730.9396110349558</v>
      </c>
      <c r="J8" s="37">
        <f>BDbDT_calcs!J64</f>
        <v>1780.2618491359001</v>
      </c>
      <c r="K8" s="37">
        <f>BDbDT_calcs!K64</f>
        <v>1831.1170779988863</v>
      </c>
      <c r="L8" s="37">
        <f>BDbDT_calcs!L64</f>
        <v>1883.8059646198105</v>
      </c>
      <c r="M8" s="37">
        <f>BDbDT_calcs!M64</f>
        <v>1937.8567873370773</v>
      </c>
      <c r="N8" s="37">
        <f>BDbDT_calcs!N64</f>
        <v>1993.7640946513668</v>
      </c>
      <c r="O8" s="37">
        <f>BDbDT_calcs!O64</f>
        <v>2051.1851665544586</v>
      </c>
      <c r="P8" s="37">
        <f>BDbDT_calcs!P64</f>
        <v>2110.0211708295215</v>
      </c>
      <c r="Q8" s="37">
        <f>BDbDT_calcs!Q64</f>
        <v>2170.3572842680824</v>
      </c>
      <c r="R8" s="37">
        <f>BDbDT_calcs!R64</f>
        <v>2231.7486848945009</v>
      </c>
      <c r="S8" s="37">
        <f>BDbDT_calcs!S64</f>
        <v>2291.5655987279101</v>
      </c>
      <c r="T8" s="37">
        <f>BDbDT_calcs!T64</f>
        <v>2352.2270115038482</v>
      </c>
      <c r="U8" s="37">
        <f>BDbDT_calcs!U64</f>
        <v>2413.5678395733198</v>
      </c>
      <c r="V8" s="37">
        <f>BDbDT_calcs!V64</f>
        <v>2475.2602122500089</v>
      </c>
      <c r="W8" s="37">
        <f>BDbDT_calcs!W64</f>
        <v>2536.9589343839339</v>
      </c>
      <c r="X8" s="37">
        <f>BDbDT_calcs!X64</f>
        <v>2598.9678660409331</v>
      </c>
      <c r="Y8" s="37">
        <f>BDbDT_calcs!Y64</f>
        <v>2660.7602413834743</v>
      </c>
      <c r="Z8" s="37">
        <f>BDbDT_calcs!Z64</f>
        <v>2722.298372009956</v>
      </c>
      <c r="AA8" s="37">
        <f>BDbDT_calcs!AA64</f>
        <v>2782.9706557051472</v>
      </c>
      <c r="AB8" s="37">
        <f>BDbDT_calcs!AB64</f>
        <v>2842.7034657357835</v>
      </c>
    </row>
    <row r="9" spans="1:28" x14ac:dyDescent="0.25">
      <c r="A9" s="4" t="s">
        <v>222</v>
      </c>
      <c r="B9" s="37">
        <f>BDbDT_calcs!B65</f>
        <v>41554.540174319554</v>
      </c>
      <c r="C9" s="37">
        <f>BDbDT_calcs!C65</f>
        <v>42025.017866525588</v>
      </c>
      <c r="D9" s="37">
        <f>BDbDT_calcs!D65</f>
        <v>42705.970714724521</v>
      </c>
      <c r="E9" s="37">
        <f>BDbDT_calcs!E65</f>
        <v>43398.170741704205</v>
      </c>
      <c r="F9" s="37">
        <f>BDbDT_calcs!F65</f>
        <v>44110.281142012675</v>
      </c>
      <c r="G9" s="37">
        <f>BDbDT_calcs!G65</f>
        <v>44843.860623765446</v>
      </c>
      <c r="H9" s="37">
        <f>BDbDT_calcs!H65</f>
        <v>45597.971504292429</v>
      </c>
      <c r="I9" s="37">
        <f>BDbDT_calcs!I65</f>
        <v>46051.702368679136</v>
      </c>
      <c r="J9" s="37">
        <f>BDbDT_calcs!J65</f>
        <v>46511.717623592223</v>
      </c>
      <c r="K9" s="37">
        <f>BDbDT_calcs!K65</f>
        <v>46969.977263030334</v>
      </c>
      <c r="L9" s="37">
        <f>BDbDT_calcs!L65</f>
        <v>47422.838239601828</v>
      </c>
      <c r="M9" s="37">
        <f>BDbDT_calcs!M65</f>
        <v>47869.688620444489</v>
      </c>
      <c r="N9" s="37">
        <f>BDbDT_calcs!N65</f>
        <v>48300.851999887134</v>
      </c>
      <c r="O9" s="37">
        <f>BDbDT_calcs!O65</f>
        <v>48711.182250820144</v>
      </c>
      <c r="P9" s="37">
        <f>BDbDT_calcs!P65</f>
        <v>49096.439502818546</v>
      </c>
      <c r="Q9" s="37">
        <f>BDbDT_calcs!Q65</f>
        <v>49448.650598432861</v>
      </c>
      <c r="R9" s="37">
        <f>BDbDT_calcs!R65</f>
        <v>49763.046261458469</v>
      </c>
      <c r="S9" s="37">
        <f>BDbDT_calcs!S65</f>
        <v>49978.122695811937</v>
      </c>
      <c r="T9" s="37">
        <f>BDbDT_calcs!T65</f>
        <v>50147.40101309093</v>
      </c>
      <c r="U9" s="37">
        <f>BDbDT_calcs!U65</f>
        <v>50270.734346809695</v>
      </c>
      <c r="V9" s="37">
        <f>BDbDT_calcs!V65</f>
        <v>50336.165237033376</v>
      </c>
      <c r="W9" s="37">
        <f>BDbDT_calcs!W65</f>
        <v>50341.162808389097</v>
      </c>
      <c r="X9" s="37">
        <f>BDbDT_calcs!X65</f>
        <v>50285.291530721355</v>
      </c>
      <c r="Y9" s="37">
        <f>BDbDT_calcs!Y65</f>
        <v>50195.824800857226</v>
      </c>
      <c r="Z9" s="37">
        <f>BDbDT_calcs!Z65</f>
        <v>50050.163381462873</v>
      </c>
      <c r="AA9" s="37">
        <f>BDbDT_calcs!AA65</f>
        <v>49847.801396432777</v>
      </c>
      <c r="AB9" s="37">
        <f>BDbDT_calcs!AB65</f>
        <v>49592.469022754936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2026-08-17T20:28:53Z</dcterms:modified>
</cp:coreProperties>
</file>