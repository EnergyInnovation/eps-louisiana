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SYTaDC\"/>
    </mc:Choice>
  </mc:AlternateContent>
  <xr:revisionPtr revIDLastSave="0" documentId="8_{AD3064E5-9E6A-48FF-8265-2D996FB28F1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<sst xmlns="http://schemas.openxmlformats.org/spreadsheetml/2006/main" count="264" uniqueCount="144">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</sst>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52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LA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Louisiana</v>
      </c>
    </row>
    <row r="44" spans="1:42" x14ac:dyDescent="0.25">
      <c r="A44" t="s">
        <v>143</v>
      </c>
      <c r="B44" s="15">
        <f>SUMIFS('HIFLD Outputs'!$F$2:$F$49,'HIFLD Outputs'!$B$2:$B$49,'Data National'!$A$43)*B34</f>
        <v>2312642.3008611994</v>
      </c>
      <c r="C44" s="15">
        <f>SUMIFS('HIFLD Outputs'!$F$2:$F$49,'HIFLD Outputs'!$B$2:$B$49,'Data National'!$A$43)*C34</f>
        <v>2314399.6278375378</v>
      </c>
      <c r="D44" s="15">
        <f>SUMIFS('HIFLD Outputs'!$F$2:$F$49,'HIFLD Outputs'!$B$2:$B$49,'Data National'!$A$43)*D34</f>
        <v>2316156.9548138762</v>
      </c>
      <c r="E44" s="15">
        <f>SUMIFS('HIFLD Outputs'!$F$2:$F$49,'HIFLD Outputs'!$B$2:$B$49,'Data National'!$A$43)*E34</f>
        <v>2317914.2817902146</v>
      </c>
      <c r="F44" s="15">
        <f>SUMIFS('HIFLD Outputs'!$F$2:$F$49,'HIFLD Outputs'!$B$2:$B$49,'Data National'!$A$43)*F34</f>
        <v>2319671.6087665525</v>
      </c>
      <c r="G44" s="15">
        <f>SUMIFS('HIFLD Outputs'!$F$2:$F$49,'HIFLD Outputs'!$B$2:$B$49,'Data National'!$A$43)*G34</f>
        <v>2321428.9357428909</v>
      </c>
      <c r="H44" s="15">
        <f>SUMIFS('HIFLD Outputs'!$F$2:$F$49,'HIFLD Outputs'!$B$2:$B$49,'Data National'!$A$43)*H34</f>
        <v>2323186.2627192293</v>
      </c>
      <c r="I44" s="15">
        <f>SUMIFS('HIFLD Outputs'!$F$2:$F$49,'HIFLD Outputs'!$B$2:$B$49,'Data National'!$A$43)*I34</f>
        <v>2324943.5896955677</v>
      </c>
      <c r="J44" s="15">
        <f>SUMIFS('HIFLD Outputs'!$F$2:$F$49,'HIFLD Outputs'!$B$2:$B$49,'Data National'!$A$43)*J34</f>
        <v>2326700.9166719061</v>
      </c>
      <c r="K44" s="15">
        <f>SUMIFS('HIFLD Outputs'!$F$2:$F$49,'HIFLD Outputs'!$B$2:$B$49,'Data National'!$A$43)*K34</f>
        <v>2328458.2436482445</v>
      </c>
      <c r="L44" s="15">
        <f>SUMIFS('HIFLD Outputs'!$F$2:$F$49,'HIFLD Outputs'!$B$2:$B$49,'Data National'!$A$43)*L34</f>
        <v>2330215.5706245829</v>
      </c>
      <c r="M44" s="15">
        <f>SUMIFS('HIFLD Outputs'!$F$2:$F$49,'HIFLD Outputs'!$B$2:$B$49,'Data National'!$A$43)*M34</f>
        <v>2331972.8976009209</v>
      </c>
      <c r="N44" s="15">
        <f>SUMIFS('HIFLD Outputs'!$F$2:$F$49,'HIFLD Outputs'!$B$2:$B$49,'Data National'!$A$43)*N34</f>
        <v>2333730.2245772593</v>
      </c>
      <c r="O44" s="15">
        <f>SUMIFS('HIFLD Outputs'!$F$2:$F$49,'HIFLD Outputs'!$B$2:$B$49,'Data National'!$A$43)*O34</f>
        <v>2335487.5515535977</v>
      </c>
      <c r="P44" s="15">
        <f>SUMIFS('HIFLD Outputs'!$F$2:$F$49,'HIFLD Outputs'!$B$2:$B$49,'Data National'!$A$43)*P34</f>
        <v>2337244.8785299361</v>
      </c>
      <c r="Q44" s="15">
        <f>SUMIFS('HIFLD Outputs'!$F$2:$F$49,'HIFLD Outputs'!$B$2:$B$49,'Data National'!$A$43)*Q34</f>
        <v>2339002.2055062745</v>
      </c>
      <c r="R44" s="15">
        <f>SUMIFS('HIFLD Outputs'!$F$2:$F$49,'HIFLD Outputs'!$B$2:$B$49,'Data National'!$A$43)*R34</f>
        <v>2340759.5324826129</v>
      </c>
      <c r="S44" s="15">
        <f>SUMIFS('HIFLD Outputs'!$F$2:$F$49,'HIFLD Outputs'!$B$2:$B$49,'Data National'!$A$43)*S34</f>
        <v>2342516.8594589513</v>
      </c>
      <c r="T44" s="15">
        <f>SUMIFS('HIFLD Outputs'!$F$2:$F$49,'HIFLD Outputs'!$B$2:$B$49,'Data National'!$A$43)*T34</f>
        <v>2344274.1864352897</v>
      </c>
      <c r="U44" s="15">
        <f>SUMIFS('HIFLD Outputs'!$F$2:$F$49,'HIFLD Outputs'!$B$2:$B$49,'Data National'!$A$43)*U34</f>
        <v>2346031.5134116276</v>
      </c>
      <c r="V44" s="15">
        <f>SUMIFS('HIFLD Outputs'!$F$2:$F$49,'HIFLD Outputs'!$B$2:$B$49,'Data National'!$A$43)*V34</f>
        <v>2347788.840387966</v>
      </c>
      <c r="W44" s="15">
        <f>SUMIFS('HIFLD Outputs'!$F$2:$F$49,'HIFLD Outputs'!$B$2:$B$49,'Data National'!$A$43)*W34</f>
        <v>2349546.1673643044</v>
      </c>
      <c r="X44" s="15">
        <f>SUMIFS('HIFLD Outputs'!$F$2:$F$49,'HIFLD Outputs'!$B$2:$B$49,'Data National'!$A$43)*X34</f>
        <v>2351303.4943406428</v>
      </c>
      <c r="Y44" s="15">
        <f>SUMIFS('HIFLD Outputs'!$F$2:$F$49,'HIFLD Outputs'!$B$2:$B$49,'Data National'!$A$43)*Y34</f>
        <v>2353060.8213169812</v>
      </c>
      <c r="Z44" s="15">
        <f>SUMIFS('HIFLD Outputs'!$F$2:$F$49,'HIFLD Outputs'!$B$2:$B$49,'Data National'!$A$43)*Z34</f>
        <v>2354818.1482933196</v>
      </c>
      <c r="AA44" s="15">
        <f>SUMIFS('HIFLD Outputs'!$F$2:$F$49,'HIFLD Outputs'!$B$2:$B$49,'Data National'!$A$43)*AA34</f>
        <v>2356575.475269658</v>
      </c>
      <c r="AB44" s="15">
        <f>SUMIFS('HIFLD Outputs'!$F$2:$F$49,'HIFLD Outputs'!$B$2:$B$49,'Data National'!$A$43)*AB34</f>
        <v>2358332.802245996</v>
      </c>
      <c r="AC44" s="15">
        <f>SUMIFS('HIFLD Outputs'!$F$2:$F$49,'HIFLD Outputs'!$B$2:$B$49,'Data National'!$A$43)*AC34</f>
        <v>2360090.1292223344</v>
      </c>
      <c r="AD44" s="15">
        <f>SUMIFS('HIFLD Outputs'!$F$2:$F$49,'HIFLD Outputs'!$B$2:$B$49,'Data National'!$A$43)*AD34</f>
        <v>2361847.4561986728</v>
      </c>
      <c r="AE44" s="15">
        <f>SUMIFS('HIFLD Outputs'!$F$2:$F$49,'HIFLD Outputs'!$B$2:$B$49,'Data National'!$A$43)*AE34</f>
        <v>2363604.7831750112</v>
      </c>
      <c r="AF44" s="15">
        <f>SUMIFS('HIFLD Outputs'!$F$2:$F$49,'HIFLD Outputs'!$B$2:$B$49,'Data National'!$A$43)*AF34</f>
        <v>2365362.1101513496</v>
      </c>
      <c r="AG44" s="15">
        <f>SUMIFS('HIFLD Outputs'!$F$2:$F$49,'HIFLD Outputs'!$B$2:$B$49,'Data National'!$A$43)*AG34</f>
        <v>2367119.437127688</v>
      </c>
      <c r="AH44" s="15">
        <f>SUMIFS('HIFLD Outputs'!$F$2:$F$49,'HIFLD Outputs'!$B$2:$B$49,'Data National'!$A$43)*AH34</f>
        <v>2368876.7641040264</v>
      </c>
      <c r="AI44" s="15">
        <f>SUMIFS('HIFLD Outputs'!$F$2:$F$49,'HIFLD Outputs'!$B$2:$B$49,'Data National'!$A$43)*AI34</f>
        <v>2370634.0910803648</v>
      </c>
      <c r="AJ44" s="15">
        <f>SUMIFS('HIFLD Outputs'!$F$2:$F$49,'HIFLD Outputs'!$B$2:$B$49,'Data National'!$A$43)*AJ34</f>
        <v>2372391.4180567027</v>
      </c>
      <c r="AK44" s="15">
        <f>SUMIFS('HIFLD Outputs'!$F$2:$F$49,'HIFLD Outputs'!$B$2:$B$49,'Data National'!$A$43)*AK34</f>
        <v>2374148.7450330411</v>
      </c>
      <c r="AL44" s="15">
        <f>SUMIFS('HIFLD Outputs'!$F$2:$F$49,'HIFLD Outputs'!$B$2:$B$49,'Data National'!$A$43)*AL34</f>
        <v>2375906.0720093795</v>
      </c>
      <c r="AM44" s="15">
        <f>SUMIFS('HIFLD Outputs'!$F$2:$F$49,'HIFLD Outputs'!$B$2:$B$49,'Data National'!$A$43)*AM34</f>
        <v>2377663.3989857179</v>
      </c>
      <c r="AN44" s="15">
        <f>SUMIFS('HIFLD Outputs'!$F$2:$F$49,'HIFLD Outputs'!$B$2:$B$49,'Data National'!$A$43)*AN34</f>
        <v>2379420.7259620563</v>
      </c>
      <c r="AO44" s="15">
        <f>SUMIFS('HIFLD Outputs'!$F$2:$F$49,'HIFLD Outputs'!$B$2:$B$49,'Data National'!$A$43)*AO34</f>
        <v>2381178.0529383947</v>
      </c>
      <c r="AP44" s="15">
        <f>SUMIFS('HIFLD Outputs'!$F$2:$F$49,'HIFLD Outputs'!$B$2:$B$49,'Data National'!$A$43)*AP34</f>
        <v>2382935.3799147331</v>
      </c>
    </row>
    <row r="45" spans="1:42" x14ac:dyDescent="0.25">
      <c r="A45" s="16" t="s">
        <v>15</v>
      </c>
      <c r="B45" s="17">
        <f>B37*SUMIFS('HIFLD Outputs'!$F$2:$F$49,'HIFLD Outputs'!$B$2:$B$49,$A$43)</f>
        <v>185873650.1275771</v>
      </c>
    </row>
    <row r="46" spans="1:42" x14ac:dyDescent="0.25">
      <c r="A46" s="16" t="s">
        <v>14</v>
      </c>
      <c r="B46" s="17">
        <f>B38*SUMIFS('HIFLD Outputs'!$F$2:$F$49,'HIFLD Outputs'!$B$2:$B$49,$A$43)</f>
        <v>292247124.59817839</v>
      </c>
    </row>
    <row r="47" spans="1:42" x14ac:dyDescent="0.25">
      <c r="A47" s="16" t="s">
        <v>16</v>
      </c>
      <c r="B47" s="17">
        <f>B39*SUMIFS('HIFLD Outputs'!$F$2:$F$49,'HIFLD Outputs'!$B$2:$B$49,$A$43)</f>
        <v>263134384.21675068</v>
      </c>
    </row>
    <row r="48" spans="1:42" x14ac:dyDescent="0.25">
      <c r="A48" s="16" t="s">
        <v>17</v>
      </c>
      <c r="B48" s="17">
        <f>B40*SUMIFS('HIFLD Outputs'!$F$2:$F$49,'HIFLD Outputs'!$B$2:$B$49,$A$43)</f>
        <v>351592326.14493495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185873650.1275771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292247124.59817839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263134384.21675068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351592326.14493495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2026-06-12T20:49:03Z</dcterms:modified>
</cp:coreProperties>
</file>