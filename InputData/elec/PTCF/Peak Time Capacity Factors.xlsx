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elec\PTCF\"/>
    </mc:Choice>
  </mc:AlternateContent>
  <xr:revisionPtr revIDLastSave="0" documentId="13_ncr:1_{EACA783C-D633-4366-833C-5DBD55D6FF9C}" xr6:coauthVersionLast="47" xr6:coauthVersionMax="47" xr10:uidLastSave="{00000000-0000-0000-0000-000000000000}"/>
  <bookViews>
    <workbookView xWindow="1560" yWindow="1560" windowWidth="21600" windowHeight="1264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E20" i="11" s="1"/>
  <c r="B59" i="11"/>
  <c r="B58" i="11"/>
  <c r="E48" i="11" s="1"/>
  <c r="B57" i="11"/>
  <c r="E53" i="11"/>
  <c r="E52" i="11"/>
  <c r="E51" i="11"/>
  <c r="E50" i="11"/>
  <c r="E49" i="11"/>
  <c r="E47" i="11"/>
  <c r="E46" i="11"/>
  <c r="D46" i="11"/>
  <c r="C46" i="11"/>
  <c r="E45" i="11"/>
  <c r="E44" i="11"/>
  <c r="E43" i="11"/>
  <c r="E41" i="11"/>
  <c r="E40" i="11"/>
  <c r="D40" i="11"/>
  <c r="C40" i="11"/>
  <c r="E39" i="11"/>
  <c r="E38" i="11"/>
  <c r="E37" i="11"/>
  <c r="E35" i="11"/>
  <c r="E34" i="11"/>
  <c r="D34" i="11"/>
  <c r="C34" i="11"/>
  <c r="E33" i="11"/>
  <c r="E32" i="11"/>
  <c r="E31" i="11"/>
  <c r="E29" i="11"/>
  <c r="E28" i="11"/>
  <c r="D28" i="11"/>
  <c r="C28" i="11"/>
  <c r="E27" i="11"/>
  <c r="E26" i="11"/>
  <c r="E25" i="11"/>
  <c r="E24" i="11"/>
  <c r="E23" i="11"/>
  <c r="E22" i="11"/>
  <c r="D22" i="11"/>
  <c r="C22" i="11"/>
  <c r="E21" i="11"/>
  <c r="D21" i="11"/>
  <c r="C21" i="11"/>
  <c r="E19" i="11"/>
  <c r="E18" i="11"/>
  <c r="E17" i="11"/>
  <c r="E15" i="11"/>
  <c r="C15" i="11"/>
  <c r="E14" i="11"/>
  <c r="D14" i="11"/>
  <c r="C14" i="11"/>
  <c r="AN6" i="10"/>
  <c r="AN19" i="10" s="1"/>
  <c r="AM6" i="10"/>
  <c r="AM19" i="10" s="1"/>
  <c r="AL6" i="10"/>
  <c r="AL19" i="10" s="1"/>
  <c r="AK6" i="10"/>
  <c r="AK19" i="10" s="1"/>
  <c r="AJ6" i="10"/>
  <c r="AJ19" i="10" s="1"/>
  <c r="AI6" i="10"/>
  <c r="AI19" i="10" s="1"/>
  <c r="AH6" i="10"/>
  <c r="AH19" i="10" s="1"/>
  <c r="AG6" i="10"/>
  <c r="AG19" i="10" s="1"/>
  <c r="AF6" i="10"/>
  <c r="AF19" i="10" s="1"/>
  <c r="AE6" i="10"/>
  <c r="AE19" i="10" s="1"/>
  <c r="AD6" i="10"/>
  <c r="AD19" i="10" s="1"/>
  <c r="AC6" i="10"/>
  <c r="AC19" i="10" s="1"/>
  <c r="AB6" i="10"/>
  <c r="AB19" i="10" s="1"/>
  <c r="AA6" i="10"/>
  <c r="AA19" i="10" s="1"/>
  <c r="Z6" i="10"/>
  <c r="Z19" i="10" s="1"/>
  <c r="Y6" i="10"/>
  <c r="Y19" i="10" s="1"/>
  <c r="L45" i="3"/>
  <c r="K45" i="3"/>
  <c r="J45" i="3"/>
  <c r="F36" i="3"/>
  <c r="F23" i="3"/>
  <c r="D15" i="11" s="1"/>
  <c r="L4" i="3"/>
  <c r="K4" i="3"/>
  <c r="J4" i="3"/>
  <c r="C7" i="11"/>
  <c r="D6" i="11"/>
  <c r="C6" i="11"/>
  <c r="C5" i="11"/>
  <c r="D8" i="11"/>
  <c r="D4" i="11"/>
  <c r="D5" i="11"/>
  <c r="C8" i="11"/>
  <c r="C4" i="11"/>
  <c r="D7" i="11"/>
  <c r="D3" i="11"/>
  <c r="C3" i="11"/>
  <c r="E16" i="11" l="1"/>
  <c r="B6" i="12" s="1" a="1"/>
  <c r="B6" i="12" s="1"/>
  <c r="B21" i="12"/>
  <c r="C21" i="12"/>
  <c r="B22" i="12"/>
  <c r="C22" i="12"/>
  <c r="E30" i="11"/>
  <c r="E36" i="11"/>
  <c r="E42" i="11"/>
  <c r="B19" i="12"/>
  <c r="B23" i="12"/>
  <c r="C19" i="12"/>
  <c r="C23" i="12"/>
  <c r="B20" i="12"/>
  <c r="B24" i="12"/>
  <c r="C20" i="12"/>
  <c r="C10" i="12" l="1" a="1"/>
  <c r="C10" i="12" s="1"/>
  <c r="C6" i="12" a="1"/>
  <c r="C6" i="12" s="1"/>
  <c r="B7" i="12" a="1"/>
  <c r="B7" i="12" s="1"/>
  <c r="B9" i="12" a="1"/>
  <c r="B9" i="12" s="1"/>
  <c r="B15" i="12" a="1"/>
  <c r="B15" i="12" s="1"/>
  <c r="C7" i="12" a="1"/>
  <c r="C7" i="12" s="1"/>
  <c r="C9" i="12" a="1"/>
  <c r="C9" i="12" s="1"/>
  <c r="B10" i="12" a="1"/>
  <c r="B10" i="12" s="1"/>
  <c r="B8" i="12" a="1"/>
  <c r="B8" i="12" s="1"/>
  <c r="C8" i="12" a="1"/>
  <c r="C8" i="12" s="1"/>
  <c r="C15" i="12" a="1"/>
  <c r="C15" i="12" s="1"/>
</calcChain>
</file>

<file path=xl/sharedStrings.xml><?xml version="1.0" encoding="utf-8"?>
<sst xmlns="http://schemas.openxmlformats.org/spreadsheetml/2006/main" count="999" uniqueCount="226">
  <si>
    <t>PTCF Peak Time Capacity Factors</t>
  </si>
  <si>
    <t>Louisiana</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</si>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</sst>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7" fillId="4" borderId="0" xfId="11" applyNumberFormat="1" applyFont="1" applyFill="1" applyAlignment="1">
      <alignment horizontal="center"/>
    </xf>
    <xf numFmtId="10" fontId="8" fillId="0" borderId="0" xfId="11" applyNumberFormat="1" applyFont="1" applyAlignment="1">
      <alignment horizontal="center"/>
    </xf>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15" fillId="5" borderId="17" xfId="0" applyFont="1" applyFill="1" applyBorder="1" applyAlignment="1">
      <alignment horizontal="left" vertical="center"/>
    </xf>
    <xf numFmtId="0" fontId="0" fillId="0" borderId="3" xfId="0" applyBorder="1"/>
    <xf numFmtId="0" fontId="0" fillId="0" borderId="4" xfId="0" applyBorder="1"/>
    <xf numFmtId="0" fontId="15" fillId="5" borderId="1" xfId="0" applyFont="1" applyFill="1" applyBorder="1" applyAlignment="1">
      <alignment horizontal="center" vertical="center"/>
    </xf>
    <xf numFmtId="0" fontId="0" fillId="0" borderId="18" xfId="0" applyBorder="1"/>
    <xf numFmtId="0" fontId="15" fillId="5" borderId="17" xfId="0" applyFont="1" applyFill="1" applyBorder="1" applyAlignment="1">
      <alignment horizontal="center" vertical="center"/>
    </xf>
    <xf numFmtId="167" fontId="11" fillId="0" borderId="0" xfId="1" applyNumberFormat="1" applyFont="1" applyAlignment="1">
      <alignment horizontal="left" vertical="top" wrapText="1"/>
    </xf>
    <xf numFmtId="0" fontId="0" fillId="0" borderId="0" xfId="0"/>
    <xf numFmtId="0" fontId="12" fillId="5" borderId="17" xfId="0" applyFont="1" applyFill="1" applyBorder="1" applyAlignment="1">
      <alignment horizontal="left"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21" fillId="0" borderId="10" xfId="6" applyFont="1" applyBorder="1" applyAlignment="1">
      <alignment horizontal="center" wrapText="1"/>
    </xf>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xf numFmtId="0" fontId="21" fillId="0" borderId="6" xfId="6" applyFont="1">
      <alignment wrapText="1"/>
    </xf>
    <xf numFmtId="0" fontId="0" fillId="0" borderId="6" xfId="0" applyBorder="1"/>
    <xf numFmtId="0" fontId="21" fillId="0" borderId="0" xfId="3" applyFont="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5" x14ac:dyDescent="0.25"/>
  <cols>
    <col min="1" max="1" width="9.28515625" customWidth="1"/>
    <col min="2" max="2" width="50.7109375" bestFit="1" customWidth="1"/>
    <col min="5" max="5" width="49.5703125" customWidth="1"/>
    <col min="8" max="8" width="53.7109375" customWidth="1"/>
  </cols>
  <sheetData>
    <row r="1" spans="1:8" x14ac:dyDescent="0.25">
      <c r="A1" s="1" t="s">
        <v>0</v>
      </c>
      <c r="B1" t="s">
        <v>1</v>
      </c>
    </row>
    <row r="2" spans="1:8" x14ac:dyDescent="0.25">
      <c r="G2" s="3"/>
    </row>
    <row r="3" spans="1:8" x14ac:dyDescent="0.25">
      <c r="A3" s="1" t="s">
        <v>2</v>
      </c>
      <c r="B3" s="2" t="s">
        <v>3</v>
      </c>
      <c r="E3" s="2" t="s">
        <v>4</v>
      </c>
      <c r="H3" s="2" t="s">
        <v>5</v>
      </c>
    </row>
    <row r="4" spans="1:8" x14ac:dyDescent="0.25">
      <c r="B4" t="s">
        <v>6</v>
      </c>
      <c r="E4" t="s">
        <v>7</v>
      </c>
      <c r="H4" s="3" t="s">
        <v>8</v>
      </c>
    </row>
    <row r="5" spans="1:8" x14ac:dyDescent="0.25">
      <c r="B5" s="3">
        <v>2020</v>
      </c>
      <c r="E5" s="3">
        <v>2016</v>
      </c>
      <c r="H5" s="3">
        <v>2019</v>
      </c>
    </row>
    <row r="6" spans="1:8" x14ac:dyDescent="0.25">
      <c r="B6" t="s">
        <v>9</v>
      </c>
      <c r="E6" t="s">
        <v>10</v>
      </c>
      <c r="H6" t="s">
        <v>11</v>
      </c>
    </row>
    <row r="7" spans="1:8" x14ac:dyDescent="0.25">
      <c r="B7" t="s">
        <v>12</v>
      </c>
      <c r="E7" s="12" t="s">
        <v>13</v>
      </c>
      <c r="H7" s="12" t="s">
        <v>14</v>
      </c>
    </row>
    <row r="8" spans="1:8" x14ac:dyDescent="0.25">
      <c r="B8" t="s">
        <v>15</v>
      </c>
    </row>
    <row r="10" spans="1:8" x14ac:dyDescent="0.25">
      <c r="B10" s="2" t="s">
        <v>16</v>
      </c>
      <c r="E10" s="2" t="s">
        <v>17</v>
      </c>
      <c r="H10" s="2" t="s">
        <v>18</v>
      </c>
    </row>
    <row r="11" spans="1:8" x14ac:dyDescent="0.25">
      <c r="B11" t="s">
        <v>19</v>
      </c>
      <c r="E11" s="3" t="s">
        <v>20</v>
      </c>
      <c r="H11" s="103" t="s">
        <v>21</v>
      </c>
    </row>
    <row r="12" spans="1:8" x14ac:dyDescent="0.25">
      <c r="B12" s="3">
        <v>2019</v>
      </c>
      <c r="E12" s="3">
        <v>2017</v>
      </c>
      <c r="H12" s="103">
        <v>2020</v>
      </c>
    </row>
    <row r="13" spans="1:8" x14ac:dyDescent="0.25">
      <c r="B13" t="s">
        <v>22</v>
      </c>
      <c r="E13" t="s">
        <v>23</v>
      </c>
      <c r="H13" t="s">
        <v>24</v>
      </c>
    </row>
    <row r="14" spans="1:8" x14ac:dyDescent="0.25">
      <c r="B14" s="12" t="s">
        <v>25</v>
      </c>
      <c r="E14" s="12" t="s">
        <v>26</v>
      </c>
      <c r="H14" s="12" t="s">
        <v>27</v>
      </c>
    </row>
    <row r="15" spans="1:8" x14ac:dyDescent="0.25">
      <c r="B15" t="s">
        <v>28</v>
      </c>
      <c r="E15" s="3" t="s">
        <v>29</v>
      </c>
      <c r="H15" t="s">
        <v>30</v>
      </c>
    </row>
    <row r="17" spans="1:8" x14ac:dyDescent="0.25">
      <c r="B17" s="2" t="s">
        <v>31</v>
      </c>
      <c r="E17" s="2" t="s">
        <v>32</v>
      </c>
      <c r="H17" s="2" t="s">
        <v>33</v>
      </c>
    </row>
    <row r="18" spans="1:8" x14ac:dyDescent="0.25">
      <c r="B18" t="s">
        <v>34</v>
      </c>
      <c r="E18" t="s">
        <v>35</v>
      </c>
      <c r="H18" s="3" t="s">
        <v>36</v>
      </c>
    </row>
    <row r="19" spans="1:8" x14ac:dyDescent="0.25">
      <c r="B19" s="3">
        <v>2015</v>
      </c>
      <c r="E19" s="3">
        <v>2018</v>
      </c>
      <c r="H19" s="3">
        <v>2020</v>
      </c>
    </row>
    <row r="20" spans="1:8" x14ac:dyDescent="0.25">
      <c r="B20" t="s">
        <v>37</v>
      </c>
      <c r="E20" t="s">
        <v>38</v>
      </c>
      <c r="H20" s="3" t="s">
        <v>39</v>
      </c>
    </row>
    <row r="21" spans="1:8" x14ac:dyDescent="0.25">
      <c r="B21" t="s">
        <v>40</v>
      </c>
      <c r="E21" s="12" t="s">
        <v>41</v>
      </c>
      <c r="H21" s="12" t="s">
        <v>42</v>
      </c>
    </row>
    <row r="22" spans="1:8" x14ac:dyDescent="0.25">
      <c r="B22" t="s">
        <v>43</v>
      </c>
      <c r="E22" t="s">
        <v>44</v>
      </c>
      <c r="H22" s="3" t="s">
        <v>45</v>
      </c>
    </row>
    <row r="24" spans="1:8" x14ac:dyDescent="0.25">
      <c r="H24" s="2" t="s">
        <v>46</v>
      </c>
    </row>
    <row r="25" spans="1:8" x14ac:dyDescent="0.25">
      <c r="H25" s="3" t="s">
        <v>47</v>
      </c>
    </row>
    <row r="26" spans="1:8" x14ac:dyDescent="0.25">
      <c r="A26" s="1" t="s">
        <v>48</v>
      </c>
      <c r="H26" s="3">
        <v>2020</v>
      </c>
    </row>
    <row r="27" spans="1:8" x14ac:dyDescent="0.25">
      <c r="A27" t="s">
        <v>49</v>
      </c>
      <c r="H27" s="3" t="s">
        <v>50</v>
      </c>
    </row>
    <row r="28" spans="1:8" x14ac:dyDescent="0.25">
      <c r="A28" t="s">
        <v>51</v>
      </c>
      <c r="H28" s="12" t="s">
        <v>52</v>
      </c>
    </row>
    <row r="29" spans="1:8" x14ac:dyDescent="0.25">
      <c r="A29" s="1"/>
      <c r="H29" s="3" t="s">
        <v>53</v>
      </c>
    </row>
    <row r="30" spans="1:8" x14ac:dyDescent="0.25">
      <c r="A30" t="s">
        <v>54</v>
      </c>
    </row>
    <row r="31" spans="1:8" x14ac:dyDescent="0.25">
      <c r="A31" t="s">
        <v>55</v>
      </c>
    </row>
    <row r="32" spans="1:8" x14ac:dyDescent="0.25">
      <c r="A32" t="s">
        <v>56</v>
      </c>
    </row>
    <row r="34" spans="1:1" x14ac:dyDescent="0.25">
      <c r="A34" t="s">
        <v>57</v>
      </c>
    </row>
    <row r="35" spans="1:1" x14ac:dyDescent="0.25">
      <c r="A35" t="s">
        <v>58</v>
      </c>
    </row>
    <row r="36" spans="1:1" x14ac:dyDescent="0.25">
      <c r="A36" t="s">
        <v>59</v>
      </c>
    </row>
  </sheetData>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5" x14ac:dyDescent="0.25"/>
  <cols>
    <col min="1" max="2" width="9.140625" style="45" customWidth="1"/>
    <col min="3" max="3" width="13.140625" style="45" customWidth="1"/>
    <col min="4" max="4" width="12.42578125" style="45" customWidth="1"/>
    <col min="5" max="5" width="10.28515625" style="45" bestFit="1" customWidth="1"/>
    <col min="6" max="6" width="33.85546875" style="45" bestFit="1" customWidth="1"/>
    <col min="7" max="258" width="9.140625" style="45" customWidth="1"/>
    <col min="259" max="259" width="13.140625" style="45" customWidth="1"/>
    <col min="260" max="260" width="12.42578125" style="45" customWidth="1"/>
    <col min="261" max="261" width="10.28515625" style="45" bestFit="1" customWidth="1"/>
    <col min="262" max="262" width="33.85546875" style="45" bestFit="1" customWidth="1"/>
    <col min="263" max="514" width="9.140625" style="45" customWidth="1"/>
    <col min="515" max="515" width="13.140625" style="45" customWidth="1"/>
    <col min="516" max="516" width="12.42578125" style="45" customWidth="1"/>
    <col min="517" max="517" width="10.28515625" style="45" bestFit="1" customWidth="1"/>
    <col min="518" max="518" width="33.85546875" style="45" bestFit="1" customWidth="1"/>
    <col min="519" max="770" width="9.140625" style="45" customWidth="1"/>
    <col min="771" max="771" width="13.140625" style="45" customWidth="1"/>
    <col min="772" max="772" width="12.42578125" style="45" customWidth="1"/>
    <col min="773" max="773" width="10.28515625" style="45" bestFit="1" customWidth="1"/>
    <col min="774" max="774" width="33.85546875" style="45" bestFit="1" customWidth="1"/>
    <col min="775" max="1026" width="9.140625" style="45" customWidth="1"/>
    <col min="1027" max="1027" width="13.140625" style="45" customWidth="1"/>
    <col min="1028" max="1028" width="12.42578125" style="45" customWidth="1"/>
    <col min="1029" max="1029" width="10.28515625" style="45" bestFit="1" customWidth="1"/>
    <col min="1030" max="1030" width="33.85546875" style="45" bestFit="1" customWidth="1"/>
    <col min="1031" max="1282" width="9.140625" style="45" customWidth="1"/>
    <col min="1283" max="1283" width="13.140625" style="45" customWidth="1"/>
    <col min="1284" max="1284" width="12.42578125" style="45" customWidth="1"/>
    <col min="1285" max="1285" width="10.28515625" style="45" bestFit="1" customWidth="1"/>
    <col min="1286" max="1286" width="33.85546875" style="45" bestFit="1" customWidth="1"/>
    <col min="1287" max="1538" width="9.140625" style="45" customWidth="1"/>
    <col min="1539" max="1539" width="13.140625" style="45" customWidth="1"/>
    <col min="1540" max="1540" width="12.42578125" style="45" customWidth="1"/>
    <col min="1541" max="1541" width="10.28515625" style="45" bestFit="1" customWidth="1"/>
    <col min="1542" max="1542" width="33.85546875" style="45" bestFit="1" customWidth="1"/>
    <col min="1543" max="1794" width="9.140625" style="45" customWidth="1"/>
    <col min="1795" max="1795" width="13.140625" style="45" customWidth="1"/>
    <col min="1796" max="1796" width="12.42578125" style="45" customWidth="1"/>
    <col min="1797" max="1797" width="10.28515625" style="45" bestFit="1" customWidth="1"/>
    <col min="1798" max="1798" width="33.85546875" style="45" bestFit="1" customWidth="1"/>
    <col min="1799" max="2050" width="9.140625" style="45" customWidth="1"/>
    <col min="2051" max="2051" width="13.140625" style="45" customWidth="1"/>
    <col min="2052" max="2052" width="12.42578125" style="45" customWidth="1"/>
    <col min="2053" max="2053" width="10.28515625" style="45" bestFit="1" customWidth="1"/>
    <col min="2054" max="2054" width="33.85546875" style="45" bestFit="1" customWidth="1"/>
    <col min="2055" max="2306" width="9.140625" style="45" customWidth="1"/>
    <col min="2307" max="2307" width="13.140625" style="45" customWidth="1"/>
    <col min="2308" max="2308" width="12.42578125" style="45" customWidth="1"/>
    <col min="2309" max="2309" width="10.28515625" style="45" bestFit="1" customWidth="1"/>
    <col min="2310" max="2310" width="33.85546875" style="45" bestFit="1" customWidth="1"/>
    <col min="2311" max="2562" width="9.140625" style="45" customWidth="1"/>
    <col min="2563" max="2563" width="13.140625" style="45" customWidth="1"/>
    <col min="2564" max="2564" width="12.42578125" style="45" customWidth="1"/>
    <col min="2565" max="2565" width="10.28515625" style="45" bestFit="1" customWidth="1"/>
    <col min="2566" max="2566" width="33.85546875" style="45" bestFit="1" customWidth="1"/>
    <col min="2567" max="2818" width="9.140625" style="45" customWidth="1"/>
    <col min="2819" max="2819" width="13.140625" style="45" customWidth="1"/>
    <col min="2820" max="2820" width="12.42578125" style="45" customWidth="1"/>
    <col min="2821" max="2821" width="10.28515625" style="45" bestFit="1" customWidth="1"/>
    <col min="2822" max="2822" width="33.85546875" style="45" bestFit="1" customWidth="1"/>
    <col min="2823" max="3074" width="9.140625" style="45" customWidth="1"/>
    <col min="3075" max="3075" width="13.140625" style="45" customWidth="1"/>
    <col min="3076" max="3076" width="12.42578125" style="45" customWidth="1"/>
    <col min="3077" max="3077" width="10.28515625" style="45" bestFit="1" customWidth="1"/>
    <col min="3078" max="3078" width="33.85546875" style="45" bestFit="1" customWidth="1"/>
    <col min="3079" max="3330" width="9.140625" style="45" customWidth="1"/>
    <col min="3331" max="3331" width="13.140625" style="45" customWidth="1"/>
    <col min="3332" max="3332" width="12.42578125" style="45" customWidth="1"/>
    <col min="3333" max="3333" width="10.28515625" style="45" bestFit="1" customWidth="1"/>
    <col min="3334" max="3334" width="33.85546875" style="45" bestFit="1" customWidth="1"/>
    <col min="3335" max="3586" width="9.140625" style="45" customWidth="1"/>
    <col min="3587" max="3587" width="13.140625" style="45" customWidth="1"/>
    <col min="3588" max="3588" width="12.42578125" style="45" customWidth="1"/>
    <col min="3589" max="3589" width="10.28515625" style="45" bestFit="1" customWidth="1"/>
    <col min="3590" max="3590" width="33.85546875" style="45" bestFit="1" customWidth="1"/>
    <col min="3591" max="3842" width="9.140625" style="45" customWidth="1"/>
    <col min="3843" max="3843" width="13.140625" style="45" customWidth="1"/>
    <col min="3844" max="3844" width="12.42578125" style="45" customWidth="1"/>
    <col min="3845" max="3845" width="10.28515625" style="45" bestFit="1" customWidth="1"/>
    <col min="3846" max="3846" width="33.85546875" style="45" bestFit="1" customWidth="1"/>
    <col min="3847" max="4098" width="9.140625" style="45" customWidth="1"/>
    <col min="4099" max="4099" width="13.140625" style="45" customWidth="1"/>
    <col min="4100" max="4100" width="12.42578125" style="45" customWidth="1"/>
    <col min="4101" max="4101" width="10.28515625" style="45" bestFit="1" customWidth="1"/>
    <col min="4102" max="4102" width="33.85546875" style="45" bestFit="1" customWidth="1"/>
    <col min="4103" max="4354" width="9.140625" style="45" customWidth="1"/>
    <col min="4355" max="4355" width="13.140625" style="45" customWidth="1"/>
    <col min="4356" max="4356" width="12.42578125" style="45" customWidth="1"/>
    <col min="4357" max="4357" width="10.28515625" style="45" bestFit="1" customWidth="1"/>
    <col min="4358" max="4358" width="33.85546875" style="45" bestFit="1" customWidth="1"/>
    <col min="4359" max="4610" width="9.140625" style="45" customWidth="1"/>
    <col min="4611" max="4611" width="13.140625" style="45" customWidth="1"/>
    <col min="4612" max="4612" width="12.42578125" style="45" customWidth="1"/>
    <col min="4613" max="4613" width="10.28515625" style="45" bestFit="1" customWidth="1"/>
    <col min="4614" max="4614" width="33.85546875" style="45" bestFit="1" customWidth="1"/>
    <col min="4615" max="4866" width="9.140625" style="45" customWidth="1"/>
    <col min="4867" max="4867" width="13.140625" style="45" customWidth="1"/>
    <col min="4868" max="4868" width="12.42578125" style="45" customWidth="1"/>
    <col min="4869" max="4869" width="10.28515625" style="45" bestFit="1" customWidth="1"/>
    <col min="4870" max="4870" width="33.85546875" style="45" bestFit="1" customWidth="1"/>
    <col min="4871" max="5122" width="9.140625" style="45" customWidth="1"/>
    <col min="5123" max="5123" width="13.140625" style="45" customWidth="1"/>
    <col min="5124" max="5124" width="12.42578125" style="45" customWidth="1"/>
    <col min="5125" max="5125" width="10.28515625" style="45" bestFit="1" customWidth="1"/>
    <col min="5126" max="5126" width="33.85546875" style="45" bestFit="1" customWidth="1"/>
    <col min="5127" max="5378" width="9.140625" style="45" customWidth="1"/>
    <col min="5379" max="5379" width="13.140625" style="45" customWidth="1"/>
    <col min="5380" max="5380" width="12.42578125" style="45" customWidth="1"/>
    <col min="5381" max="5381" width="10.28515625" style="45" bestFit="1" customWidth="1"/>
    <col min="5382" max="5382" width="33.85546875" style="45" bestFit="1" customWidth="1"/>
    <col min="5383" max="5634" width="9.140625" style="45" customWidth="1"/>
    <col min="5635" max="5635" width="13.140625" style="45" customWidth="1"/>
    <col min="5636" max="5636" width="12.42578125" style="45" customWidth="1"/>
    <col min="5637" max="5637" width="10.28515625" style="45" bestFit="1" customWidth="1"/>
    <col min="5638" max="5638" width="33.85546875" style="45" bestFit="1" customWidth="1"/>
    <col min="5639" max="5890" width="9.140625" style="45" customWidth="1"/>
    <col min="5891" max="5891" width="13.140625" style="45" customWidth="1"/>
    <col min="5892" max="5892" width="12.42578125" style="45" customWidth="1"/>
    <col min="5893" max="5893" width="10.28515625" style="45" bestFit="1" customWidth="1"/>
    <col min="5894" max="5894" width="33.85546875" style="45" bestFit="1" customWidth="1"/>
    <col min="5895" max="6146" width="9.140625" style="45" customWidth="1"/>
    <col min="6147" max="6147" width="13.140625" style="45" customWidth="1"/>
    <col min="6148" max="6148" width="12.42578125" style="45" customWidth="1"/>
    <col min="6149" max="6149" width="10.28515625" style="45" bestFit="1" customWidth="1"/>
    <col min="6150" max="6150" width="33.85546875" style="45" bestFit="1" customWidth="1"/>
    <col min="6151" max="6402" width="9.140625" style="45" customWidth="1"/>
    <col min="6403" max="6403" width="13.140625" style="45" customWidth="1"/>
    <col min="6404" max="6404" width="12.42578125" style="45" customWidth="1"/>
    <col min="6405" max="6405" width="10.28515625" style="45" bestFit="1" customWidth="1"/>
    <col min="6406" max="6406" width="33.85546875" style="45" bestFit="1" customWidth="1"/>
    <col min="6407" max="6658" width="9.140625" style="45" customWidth="1"/>
    <col min="6659" max="6659" width="13.140625" style="45" customWidth="1"/>
    <col min="6660" max="6660" width="12.42578125" style="45" customWidth="1"/>
    <col min="6661" max="6661" width="10.28515625" style="45" bestFit="1" customWidth="1"/>
    <col min="6662" max="6662" width="33.85546875" style="45" bestFit="1" customWidth="1"/>
    <col min="6663" max="6914" width="9.140625" style="45" customWidth="1"/>
    <col min="6915" max="6915" width="13.140625" style="45" customWidth="1"/>
    <col min="6916" max="6916" width="12.42578125" style="45" customWidth="1"/>
    <col min="6917" max="6917" width="10.28515625" style="45" bestFit="1" customWidth="1"/>
    <col min="6918" max="6918" width="33.85546875" style="45" bestFit="1" customWidth="1"/>
    <col min="6919" max="7170" width="9.140625" style="45" customWidth="1"/>
    <col min="7171" max="7171" width="13.140625" style="45" customWidth="1"/>
    <col min="7172" max="7172" width="12.42578125" style="45" customWidth="1"/>
    <col min="7173" max="7173" width="10.28515625" style="45" bestFit="1" customWidth="1"/>
    <col min="7174" max="7174" width="33.85546875" style="45" bestFit="1" customWidth="1"/>
    <col min="7175" max="7426" width="9.140625" style="45" customWidth="1"/>
    <col min="7427" max="7427" width="13.140625" style="45" customWidth="1"/>
    <col min="7428" max="7428" width="12.42578125" style="45" customWidth="1"/>
    <col min="7429" max="7429" width="10.28515625" style="45" bestFit="1" customWidth="1"/>
    <col min="7430" max="7430" width="33.85546875" style="45" bestFit="1" customWidth="1"/>
    <col min="7431" max="7682" width="9.140625" style="45" customWidth="1"/>
    <col min="7683" max="7683" width="13.140625" style="45" customWidth="1"/>
    <col min="7684" max="7684" width="12.42578125" style="45" customWidth="1"/>
    <col min="7685" max="7685" width="10.28515625" style="45" bestFit="1" customWidth="1"/>
    <col min="7686" max="7686" width="33.85546875" style="45" bestFit="1" customWidth="1"/>
    <col min="7687" max="7938" width="9.140625" style="45" customWidth="1"/>
    <col min="7939" max="7939" width="13.140625" style="45" customWidth="1"/>
    <col min="7940" max="7940" width="12.42578125" style="45" customWidth="1"/>
    <col min="7941" max="7941" width="10.28515625" style="45" bestFit="1" customWidth="1"/>
    <col min="7942" max="7942" width="33.85546875" style="45" bestFit="1" customWidth="1"/>
    <col min="7943" max="8194" width="9.140625" style="45" customWidth="1"/>
    <col min="8195" max="8195" width="13.140625" style="45" customWidth="1"/>
    <col min="8196" max="8196" width="12.42578125" style="45" customWidth="1"/>
    <col min="8197" max="8197" width="10.28515625" style="45" bestFit="1" customWidth="1"/>
    <col min="8198" max="8198" width="33.85546875" style="45" bestFit="1" customWidth="1"/>
    <col min="8199" max="8450" width="9.140625" style="45" customWidth="1"/>
    <col min="8451" max="8451" width="13.140625" style="45" customWidth="1"/>
    <col min="8452" max="8452" width="12.42578125" style="45" customWidth="1"/>
    <col min="8453" max="8453" width="10.28515625" style="45" bestFit="1" customWidth="1"/>
    <col min="8454" max="8454" width="33.85546875" style="45" bestFit="1" customWidth="1"/>
    <col min="8455" max="8706" width="9.140625" style="45" customWidth="1"/>
    <col min="8707" max="8707" width="13.140625" style="45" customWidth="1"/>
    <col min="8708" max="8708" width="12.42578125" style="45" customWidth="1"/>
    <col min="8709" max="8709" width="10.28515625" style="45" bestFit="1" customWidth="1"/>
    <col min="8710" max="8710" width="33.85546875" style="45" bestFit="1" customWidth="1"/>
    <col min="8711" max="8962" width="9.140625" style="45" customWidth="1"/>
    <col min="8963" max="8963" width="13.140625" style="45" customWidth="1"/>
    <col min="8964" max="8964" width="12.42578125" style="45" customWidth="1"/>
    <col min="8965" max="8965" width="10.28515625" style="45" bestFit="1" customWidth="1"/>
    <col min="8966" max="8966" width="33.85546875" style="45" bestFit="1" customWidth="1"/>
    <col min="8967" max="9218" width="9.140625" style="45" customWidth="1"/>
    <col min="9219" max="9219" width="13.140625" style="45" customWidth="1"/>
    <col min="9220" max="9220" width="12.42578125" style="45" customWidth="1"/>
    <col min="9221" max="9221" width="10.28515625" style="45" bestFit="1" customWidth="1"/>
    <col min="9222" max="9222" width="33.85546875" style="45" bestFit="1" customWidth="1"/>
    <col min="9223" max="9474" width="9.140625" style="45" customWidth="1"/>
    <col min="9475" max="9475" width="13.140625" style="45" customWidth="1"/>
    <col min="9476" max="9476" width="12.42578125" style="45" customWidth="1"/>
    <col min="9477" max="9477" width="10.28515625" style="45" bestFit="1" customWidth="1"/>
    <col min="9478" max="9478" width="33.85546875" style="45" bestFit="1" customWidth="1"/>
    <col min="9479" max="9730" width="9.140625" style="45" customWidth="1"/>
    <col min="9731" max="9731" width="13.140625" style="45" customWidth="1"/>
    <col min="9732" max="9732" width="12.42578125" style="45" customWidth="1"/>
    <col min="9733" max="9733" width="10.28515625" style="45" bestFit="1" customWidth="1"/>
    <col min="9734" max="9734" width="33.85546875" style="45" bestFit="1" customWidth="1"/>
    <col min="9735" max="9986" width="9.140625" style="45" customWidth="1"/>
    <col min="9987" max="9987" width="13.140625" style="45" customWidth="1"/>
    <col min="9988" max="9988" width="12.42578125" style="45" customWidth="1"/>
    <col min="9989" max="9989" width="10.28515625" style="45" bestFit="1" customWidth="1"/>
    <col min="9990" max="9990" width="33.85546875" style="45" bestFit="1" customWidth="1"/>
    <col min="9991" max="10242" width="9.140625" style="45" customWidth="1"/>
    <col min="10243" max="10243" width="13.140625" style="45" customWidth="1"/>
    <col min="10244" max="10244" width="12.42578125" style="45" customWidth="1"/>
    <col min="10245" max="10245" width="10.28515625" style="45" bestFit="1" customWidth="1"/>
    <col min="10246" max="10246" width="33.85546875" style="45" bestFit="1" customWidth="1"/>
    <col min="10247" max="10498" width="9.140625" style="45" customWidth="1"/>
    <col min="10499" max="10499" width="13.140625" style="45" customWidth="1"/>
    <col min="10500" max="10500" width="12.42578125" style="45" customWidth="1"/>
    <col min="10501" max="10501" width="10.28515625" style="45" bestFit="1" customWidth="1"/>
    <col min="10502" max="10502" width="33.85546875" style="45" bestFit="1" customWidth="1"/>
    <col min="10503" max="10754" width="9.140625" style="45" customWidth="1"/>
    <col min="10755" max="10755" width="13.140625" style="45" customWidth="1"/>
    <col min="10756" max="10756" width="12.42578125" style="45" customWidth="1"/>
    <col min="10757" max="10757" width="10.28515625" style="45" bestFit="1" customWidth="1"/>
    <col min="10758" max="10758" width="33.85546875" style="45" bestFit="1" customWidth="1"/>
    <col min="10759" max="11010" width="9.140625" style="45" customWidth="1"/>
    <col min="11011" max="11011" width="13.140625" style="45" customWidth="1"/>
    <col min="11012" max="11012" width="12.42578125" style="45" customWidth="1"/>
    <col min="11013" max="11013" width="10.28515625" style="45" bestFit="1" customWidth="1"/>
    <col min="11014" max="11014" width="33.85546875" style="45" bestFit="1" customWidth="1"/>
    <col min="11015" max="11266" width="9.140625" style="45" customWidth="1"/>
    <col min="11267" max="11267" width="13.140625" style="45" customWidth="1"/>
    <col min="11268" max="11268" width="12.42578125" style="45" customWidth="1"/>
    <col min="11269" max="11269" width="10.28515625" style="45" bestFit="1" customWidth="1"/>
    <col min="11270" max="11270" width="33.85546875" style="45" bestFit="1" customWidth="1"/>
    <col min="11271" max="11522" width="9.140625" style="45" customWidth="1"/>
    <col min="11523" max="11523" width="13.140625" style="45" customWidth="1"/>
    <col min="11524" max="11524" width="12.42578125" style="45" customWidth="1"/>
    <col min="11525" max="11525" width="10.28515625" style="45" bestFit="1" customWidth="1"/>
    <col min="11526" max="11526" width="33.85546875" style="45" bestFit="1" customWidth="1"/>
    <col min="11527" max="11778" width="9.140625" style="45" customWidth="1"/>
    <col min="11779" max="11779" width="13.140625" style="45" customWidth="1"/>
    <col min="11780" max="11780" width="12.42578125" style="45" customWidth="1"/>
    <col min="11781" max="11781" width="10.28515625" style="45" bestFit="1" customWidth="1"/>
    <col min="11782" max="11782" width="33.85546875" style="45" bestFit="1" customWidth="1"/>
    <col min="11783" max="12034" width="9.140625" style="45" customWidth="1"/>
    <col min="12035" max="12035" width="13.140625" style="45" customWidth="1"/>
    <col min="12036" max="12036" width="12.42578125" style="45" customWidth="1"/>
    <col min="12037" max="12037" width="10.28515625" style="45" bestFit="1" customWidth="1"/>
    <col min="12038" max="12038" width="33.85546875" style="45" bestFit="1" customWidth="1"/>
    <col min="12039" max="12290" width="9.140625" style="45" customWidth="1"/>
    <col min="12291" max="12291" width="13.140625" style="45" customWidth="1"/>
    <col min="12292" max="12292" width="12.42578125" style="45" customWidth="1"/>
    <col min="12293" max="12293" width="10.28515625" style="45" bestFit="1" customWidth="1"/>
    <col min="12294" max="12294" width="33.85546875" style="45" bestFit="1" customWidth="1"/>
    <col min="12295" max="12546" width="9.140625" style="45" customWidth="1"/>
    <col min="12547" max="12547" width="13.140625" style="45" customWidth="1"/>
    <col min="12548" max="12548" width="12.42578125" style="45" customWidth="1"/>
    <col min="12549" max="12549" width="10.28515625" style="45" bestFit="1" customWidth="1"/>
    <col min="12550" max="12550" width="33.85546875" style="45" bestFit="1" customWidth="1"/>
    <col min="12551" max="12802" width="9.140625" style="45" customWidth="1"/>
    <col min="12803" max="12803" width="13.140625" style="45" customWidth="1"/>
    <col min="12804" max="12804" width="12.42578125" style="45" customWidth="1"/>
    <col min="12805" max="12805" width="10.28515625" style="45" bestFit="1" customWidth="1"/>
    <col min="12806" max="12806" width="33.85546875" style="45" bestFit="1" customWidth="1"/>
    <col min="12807" max="13058" width="9.140625" style="45" customWidth="1"/>
    <col min="13059" max="13059" width="13.140625" style="45" customWidth="1"/>
    <col min="13060" max="13060" width="12.42578125" style="45" customWidth="1"/>
    <col min="13061" max="13061" width="10.28515625" style="45" bestFit="1" customWidth="1"/>
    <col min="13062" max="13062" width="33.85546875" style="45" bestFit="1" customWidth="1"/>
    <col min="13063" max="13314" width="9.140625" style="45" customWidth="1"/>
    <col min="13315" max="13315" width="13.140625" style="45" customWidth="1"/>
    <col min="13316" max="13316" width="12.42578125" style="45" customWidth="1"/>
    <col min="13317" max="13317" width="10.28515625" style="45" bestFit="1" customWidth="1"/>
    <col min="13318" max="13318" width="33.85546875" style="45" bestFit="1" customWidth="1"/>
    <col min="13319" max="13570" width="9.140625" style="45" customWidth="1"/>
    <col min="13571" max="13571" width="13.140625" style="45" customWidth="1"/>
    <col min="13572" max="13572" width="12.42578125" style="45" customWidth="1"/>
    <col min="13573" max="13573" width="10.28515625" style="45" bestFit="1" customWidth="1"/>
    <col min="13574" max="13574" width="33.85546875" style="45" bestFit="1" customWidth="1"/>
    <col min="13575" max="13826" width="9.140625" style="45" customWidth="1"/>
    <col min="13827" max="13827" width="13.140625" style="45" customWidth="1"/>
    <col min="13828" max="13828" width="12.42578125" style="45" customWidth="1"/>
    <col min="13829" max="13829" width="10.28515625" style="45" bestFit="1" customWidth="1"/>
    <col min="13830" max="13830" width="33.85546875" style="45" bestFit="1" customWidth="1"/>
    <col min="13831" max="14082" width="9.140625" style="45" customWidth="1"/>
    <col min="14083" max="14083" width="13.140625" style="45" customWidth="1"/>
    <col min="14084" max="14084" width="12.42578125" style="45" customWidth="1"/>
    <col min="14085" max="14085" width="10.28515625" style="45" bestFit="1" customWidth="1"/>
    <col min="14086" max="14086" width="33.85546875" style="45" bestFit="1" customWidth="1"/>
    <col min="14087" max="14338" width="9.140625" style="45" customWidth="1"/>
    <col min="14339" max="14339" width="13.140625" style="45" customWidth="1"/>
    <col min="14340" max="14340" width="12.42578125" style="45" customWidth="1"/>
    <col min="14341" max="14341" width="10.28515625" style="45" bestFit="1" customWidth="1"/>
    <col min="14342" max="14342" width="33.85546875" style="45" bestFit="1" customWidth="1"/>
    <col min="14343" max="14594" width="9.140625" style="45" customWidth="1"/>
    <col min="14595" max="14595" width="13.140625" style="45" customWidth="1"/>
    <col min="14596" max="14596" width="12.42578125" style="45" customWidth="1"/>
    <col min="14597" max="14597" width="10.28515625" style="45" bestFit="1" customWidth="1"/>
    <col min="14598" max="14598" width="33.85546875" style="45" bestFit="1" customWidth="1"/>
    <col min="14599" max="14850" width="9.140625" style="45" customWidth="1"/>
    <col min="14851" max="14851" width="13.140625" style="45" customWidth="1"/>
    <col min="14852" max="14852" width="12.42578125" style="45" customWidth="1"/>
    <col min="14853" max="14853" width="10.28515625" style="45" bestFit="1" customWidth="1"/>
    <col min="14854" max="14854" width="33.85546875" style="45" bestFit="1" customWidth="1"/>
    <col min="14855" max="15106" width="9.140625" style="45" customWidth="1"/>
    <col min="15107" max="15107" width="13.140625" style="45" customWidth="1"/>
    <col min="15108" max="15108" width="12.42578125" style="45" customWidth="1"/>
    <col min="15109" max="15109" width="10.28515625" style="45" bestFit="1" customWidth="1"/>
    <col min="15110" max="15110" width="33.85546875" style="45" bestFit="1" customWidth="1"/>
    <col min="15111" max="15362" width="9.140625" style="45" customWidth="1"/>
    <col min="15363" max="15363" width="13.140625" style="45" customWidth="1"/>
    <col min="15364" max="15364" width="12.42578125" style="45" customWidth="1"/>
    <col min="15365" max="15365" width="10.28515625" style="45" bestFit="1" customWidth="1"/>
    <col min="15366" max="15366" width="33.85546875" style="45" bestFit="1" customWidth="1"/>
    <col min="15367" max="15618" width="9.140625" style="45" customWidth="1"/>
    <col min="15619" max="15619" width="13.140625" style="45" customWidth="1"/>
    <col min="15620" max="15620" width="12.42578125" style="45" customWidth="1"/>
    <col min="15621" max="15621" width="10.28515625" style="45" bestFit="1" customWidth="1"/>
    <col min="15622" max="15622" width="33.85546875" style="45" bestFit="1" customWidth="1"/>
    <col min="15623" max="15874" width="9.140625" style="45" customWidth="1"/>
    <col min="15875" max="15875" width="13.140625" style="45" customWidth="1"/>
    <col min="15876" max="15876" width="12.42578125" style="45" customWidth="1"/>
    <col min="15877" max="15877" width="10.28515625" style="45" bestFit="1" customWidth="1"/>
    <col min="15878" max="15878" width="33.85546875" style="45" bestFit="1" customWidth="1"/>
    <col min="15879" max="16130" width="9.140625" style="45" customWidth="1"/>
    <col min="16131" max="16131" width="13.140625" style="45" customWidth="1"/>
    <col min="16132" max="16132" width="12.42578125" style="45" customWidth="1"/>
    <col min="16133" max="16133" width="10.28515625" style="45" bestFit="1" customWidth="1"/>
    <col min="16134" max="16134" width="33.85546875" style="45" bestFit="1" customWidth="1"/>
    <col min="16135" max="16384" width="9.140625" style="45" customWidth="1"/>
  </cols>
  <sheetData>
    <row r="3" spans="1:18" ht="18" customHeight="1" x14ac:dyDescent="0.25">
      <c r="A3" s="44" t="s">
        <v>60</v>
      </c>
      <c r="D3" s="46"/>
      <c r="E3" s="46"/>
      <c r="F3" s="46"/>
    </row>
    <row r="4" spans="1:18" ht="15.75" customHeight="1" x14ac:dyDescent="0.25">
      <c r="A4" s="47" t="s">
        <v>61</v>
      </c>
      <c r="D4" s="46"/>
      <c r="E4" s="46"/>
      <c r="F4" s="46"/>
    </row>
    <row r="5" spans="1:18" ht="15.75" customHeight="1" x14ac:dyDescent="0.25">
      <c r="A5" s="47" t="s">
        <v>62</v>
      </c>
      <c r="D5" s="46"/>
      <c r="E5" s="46"/>
      <c r="F5" s="46"/>
    </row>
    <row r="6" spans="1:18" x14ac:dyDescent="0.25">
      <c r="D6" s="46"/>
      <c r="E6" s="46"/>
      <c r="F6" s="46"/>
    </row>
    <row r="7" spans="1:18" x14ac:dyDescent="0.25">
      <c r="D7" s="46"/>
      <c r="E7" s="46"/>
      <c r="F7" s="46"/>
    </row>
    <row r="8" spans="1:18" ht="15.75" customHeight="1" x14ac:dyDescent="0.25">
      <c r="B8" s="48" t="s">
        <v>63</v>
      </c>
      <c r="C8" s="49"/>
      <c r="D8" s="49"/>
      <c r="E8" s="49"/>
      <c r="F8" s="50"/>
    </row>
    <row r="9" spans="1:18" ht="15.75" customHeight="1" x14ac:dyDescent="0.25">
      <c r="B9" s="51" t="s">
        <v>64</v>
      </c>
      <c r="C9" s="110" t="s">
        <v>65</v>
      </c>
      <c r="D9" s="109"/>
      <c r="E9" s="52"/>
      <c r="F9" s="53"/>
    </row>
    <row r="10" spans="1:18" ht="15.75" customHeight="1" x14ac:dyDescent="0.25">
      <c r="B10" s="54">
        <v>1</v>
      </c>
      <c r="C10" s="108">
        <v>0.04</v>
      </c>
      <c r="D10" s="109"/>
      <c r="E10" s="55"/>
      <c r="F10" s="53"/>
    </row>
    <row r="11" spans="1:18" ht="15.75" customHeight="1" x14ac:dyDescent="0.25">
      <c r="B11" s="54">
        <v>2</v>
      </c>
      <c r="C11" s="108">
        <v>0.03</v>
      </c>
      <c r="D11" s="109"/>
      <c r="E11" s="55"/>
      <c r="F11" s="53"/>
      <c r="G11" s="55"/>
      <c r="H11" s="55"/>
      <c r="I11" s="55"/>
      <c r="J11" s="55"/>
      <c r="K11" s="55"/>
      <c r="L11" s="55"/>
      <c r="M11" s="55"/>
      <c r="N11" s="55"/>
      <c r="O11" s="55"/>
      <c r="P11" s="55"/>
      <c r="Q11" s="55"/>
      <c r="R11" s="55"/>
    </row>
    <row r="12" spans="1:18" ht="15.75" customHeight="1" x14ac:dyDescent="0.25">
      <c r="B12" s="54">
        <v>3</v>
      </c>
      <c r="C12" s="108">
        <v>0.18</v>
      </c>
      <c r="D12" s="109"/>
      <c r="E12" s="55"/>
      <c r="F12" s="53"/>
    </row>
    <row r="13" spans="1:18" ht="15.75" customHeight="1" x14ac:dyDescent="0.25">
      <c r="B13" s="54">
        <v>4</v>
      </c>
      <c r="C13" s="108">
        <v>0.15</v>
      </c>
      <c r="D13" s="109"/>
      <c r="E13" s="55"/>
      <c r="F13" s="53"/>
    </row>
    <row r="14" spans="1:18" ht="15.75" customHeight="1" x14ac:dyDescent="0.25">
      <c r="B14" s="54">
        <v>5</v>
      </c>
      <c r="C14" s="108">
        <v>0.16</v>
      </c>
      <c r="D14" s="109"/>
      <c r="E14" s="55"/>
      <c r="F14" s="53"/>
    </row>
    <row r="15" spans="1:18" ht="15.75" customHeight="1" x14ac:dyDescent="0.25">
      <c r="B15" s="54">
        <v>6</v>
      </c>
      <c r="C15" s="108">
        <v>0.31</v>
      </c>
      <c r="D15" s="109"/>
      <c r="E15" s="55"/>
      <c r="F15" s="53"/>
    </row>
    <row r="16" spans="1:18" ht="15.75" customHeight="1" x14ac:dyDescent="0.25">
      <c r="B16" s="54">
        <v>7</v>
      </c>
      <c r="C16" s="108">
        <v>0.39</v>
      </c>
      <c r="D16" s="109"/>
      <c r="E16" s="55"/>
      <c r="F16" s="53"/>
    </row>
    <row r="17" spans="2:12" ht="15.75" customHeight="1" x14ac:dyDescent="0.25">
      <c r="B17" s="54">
        <v>8</v>
      </c>
      <c r="C17" s="108">
        <v>0.27</v>
      </c>
      <c r="D17" s="109"/>
      <c r="E17" s="55"/>
      <c r="F17" s="53"/>
    </row>
    <row r="18" spans="2:12" ht="15.75" customHeight="1" x14ac:dyDescent="0.25">
      <c r="B18" s="54">
        <v>9</v>
      </c>
      <c r="C18" s="108">
        <v>0.14000000000000001</v>
      </c>
      <c r="D18" s="109"/>
      <c r="E18" s="55"/>
      <c r="F18" s="53"/>
    </row>
    <row r="19" spans="2:12" ht="15.75" customHeight="1" x14ac:dyDescent="0.25">
      <c r="B19" s="54">
        <v>10</v>
      </c>
      <c r="C19" s="108">
        <v>0.02</v>
      </c>
      <c r="D19" s="109"/>
      <c r="E19" s="55"/>
      <c r="F19" s="53"/>
    </row>
    <row r="20" spans="2:12" ht="15.75" customHeight="1" x14ac:dyDescent="0.25">
      <c r="B20" s="54">
        <v>11</v>
      </c>
      <c r="C20" s="108">
        <v>0.02</v>
      </c>
      <c r="D20" s="109"/>
      <c r="E20" s="55"/>
      <c r="F20" s="53"/>
      <c r="L20" s="55"/>
    </row>
    <row r="21" spans="2:12" ht="15.75" customHeight="1" x14ac:dyDescent="0.25">
      <c r="B21" s="54">
        <v>12</v>
      </c>
      <c r="C21" s="108">
        <v>0</v>
      </c>
      <c r="D21" s="109"/>
      <c r="E21" s="55"/>
      <c r="F21" s="53"/>
    </row>
    <row r="22" spans="2:12" x14ac:dyDescent="0.25">
      <c r="B22" s="53"/>
      <c r="C22" s="56"/>
      <c r="D22" s="56"/>
      <c r="E22" s="56"/>
      <c r="F22" s="53"/>
    </row>
    <row r="23" spans="2:12" ht="15.75" customHeight="1" x14ac:dyDescent="0.25">
      <c r="B23" s="54"/>
      <c r="C23" s="57"/>
      <c r="D23" s="57"/>
      <c r="E23" s="58"/>
      <c r="F23" s="57"/>
    </row>
    <row r="24" spans="2:12" ht="15.75" customHeight="1" x14ac:dyDescent="0.25">
      <c r="B24" s="48" t="s">
        <v>66</v>
      </c>
      <c r="C24" s="59"/>
      <c r="D24" s="59"/>
      <c r="E24" s="59"/>
      <c r="F24" s="60"/>
    </row>
    <row r="25" spans="2:12" ht="15.75" customHeight="1" x14ac:dyDescent="0.25">
      <c r="B25" s="51" t="s">
        <v>64</v>
      </c>
      <c r="C25" s="110" t="s">
        <v>67</v>
      </c>
      <c r="D25" s="109"/>
      <c r="E25" s="52"/>
      <c r="F25" s="53"/>
    </row>
    <row r="26" spans="2:12" ht="15.75" customHeight="1" x14ac:dyDescent="0.25">
      <c r="B26" s="54">
        <v>1</v>
      </c>
      <c r="C26" s="108">
        <v>0.14000000000000001</v>
      </c>
      <c r="D26" s="109"/>
      <c r="E26" s="58"/>
      <c r="F26" s="53"/>
    </row>
    <row r="27" spans="2:12" ht="15.75" customHeight="1" x14ac:dyDescent="0.25">
      <c r="B27" s="54">
        <v>2</v>
      </c>
      <c r="C27" s="108">
        <v>0.12</v>
      </c>
      <c r="D27" s="109"/>
      <c r="E27" s="58"/>
      <c r="F27" s="53"/>
    </row>
    <row r="28" spans="2:12" ht="15.75" customHeight="1" x14ac:dyDescent="0.25">
      <c r="B28" s="54">
        <v>3</v>
      </c>
      <c r="C28" s="108">
        <v>0.28000000000000003</v>
      </c>
      <c r="D28" s="109"/>
      <c r="E28" s="58"/>
      <c r="F28" s="53"/>
    </row>
    <row r="29" spans="2:12" ht="15.75" customHeight="1" x14ac:dyDescent="0.25">
      <c r="B29" s="54">
        <v>4</v>
      </c>
      <c r="C29" s="108">
        <v>0.25</v>
      </c>
      <c r="D29" s="109"/>
      <c r="E29" s="58"/>
      <c r="F29" s="53"/>
    </row>
    <row r="30" spans="2:12" ht="15.75" customHeight="1" x14ac:dyDescent="0.25">
      <c r="B30" s="54">
        <v>5</v>
      </c>
      <c r="C30" s="108">
        <v>0.25</v>
      </c>
      <c r="D30" s="109"/>
      <c r="E30" s="58"/>
      <c r="F30" s="53"/>
    </row>
    <row r="31" spans="2:12" ht="15.75" customHeight="1" x14ac:dyDescent="0.25">
      <c r="B31" s="54">
        <v>6</v>
      </c>
      <c r="C31" s="108">
        <v>0.33</v>
      </c>
      <c r="D31" s="109"/>
      <c r="E31" s="58"/>
      <c r="F31" s="53"/>
    </row>
    <row r="32" spans="2:12" ht="15.75" customHeight="1" x14ac:dyDescent="0.25">
      <c r="B32" s="54">
        <v>7</v>
      </c>
      <c r="C32" s="108">
        <v>0.23</v>
      </c>
      <c r="D32" s="109"/>
      <c r="E32" s="58"/>
      <c r="F32" s="53"/>
    </row>
    <row r="33" spans="2:6" ht="15.75" customHeight="1" x14ac:dyDescent="0.25">
      <c r="B33" s="54">
        <v>8</v>
      </c>
      <c r="C33" s="108">
        <v>0.21</v>
      </c>
      <c r="D33" s="109"/>
      <c r="E33" s="58"/>
      <c r="F33" s="53"/>
    </row>
    <row r="34" spans="2:6" ht="15.75" customHeight="1" x14ac:dyDescent="0.25">
      <c r="B34" s="54">
        <v>9</v>
      </c>
      <c r="C34" s="108">
        <v>0.15</v>
      </c>
      <c r="D34" s="109"/>
      <c r="E34" s="58"/>
      <c r="F34" s="53"/>
    </row>
    <row r="35" spans="2:6" ht="15.75" customHeight="1" x14ac:dyDescent="0.25">
      <c r="B35" s="54">
        <v>10</v>
      </c>
      <c r="C35" s="108">
        <v>0.08</v>
      </c>
      <c r="D35" s="109"/>
      <c r="E35" s="58"/>
      <c r="F35" s="53"/>
    </row>
    <row r="36" spans="2:6" ht="15.75" customHeight="1" x14ac:dyDescent="0.25">
      <c r="B36" s="54">
        <v>11</v>
      </c>
      <c r="C36" s="108">
        <v>0.12</v>
      </c>
      <c r="D36" s="109"/>
      <c r="E36" s="58"/>
      <c r="F36" s="53"/>
    </row>
    <row r="37" spans="2:6" ht="15.75" customHeight="1" x14ac:dyDescent="0.25">
      <c r="B37" s="54">
        <v>12</v>
      </c>
      <c r="C37" s="108">
        <v>0.13</v>
      </c>
      <c r="D37" s="109"/>
      <c r="E37" s="58"/>
      <c r="F37" s="53"/>
    </row>
    <row r="38" spans="2:6" ht="15.75" customHeight="1" x14ac:dyDescent="0.25">
      <c r="B38" s="54"/>
      <c r="C38" s="61"/>
      <c r="D38" s="61"/>
      <c r="E38" s="58"/>
      <c r="F38" s="53"/>
    </row>
    <row r="39" spans="2:6" ht="15.75" customHeight="1" x14ac:dyDescent="0.25">
      <c r="B39" s="54"/>
      <c r="C39" s="61"/>
      <c r="D39" s="61"/>
      <c r="E39" s="58"/>
      <c r="F39" s="53"/>
    </row>
    <row r="40" spans="2:6" ht="15.75" customHeight="1" x14ac:dyDescent="0.25">
      <c r="B40" s="54"/>
      <c r="C40" s="61"/>
      <c r="D40" s="61"/>
      <c r="E40" s="58"/>
      <c r="F40" s="53"/>
    </row>
    <row r="41" spans="2:6" ht="15.75" customHeight="1" x14ac:dyDescent="0.25">
      <c r="B41" s="54"/>
      <c r="C41" s="61"/>
      <c r="D41" s="61"/>
      <c r="E41" s="58"/>
      <c r="F41" s="53"/>
    </row>
    <row r="42" spans="2:6" ht="15.75" customHeight="1" x14ac:dyDescent="0.25">
      <c r="B42" s="54"/>
      <c r="C42" s="61"/>
      <c r="D42" s="61"/>
      <c r="E42" s="58"/>
      <c r="F42" s="53"/>
    </row>
    <row r="43" spans="2:6" ht="15.75" customHeight="1" x14ac:dyDescent="0.25">
      <c r="B43" s="54"/>
      <c r="C43" s="61"/>
      <c r="D43" s="61"/>
      <c r="E43" s="58"/>
      <c r="F43" s="53"/>
    </row>
    <row r="44" spans="2:6" ht="15.75" customHeight="1" x14ac:dyDescent="0.25">
      <c r="B44" s="54"/>
      <c r="C44" s="61"/>
      <c r="D44" s="61"/>
      <c r="E44" s="58"/>
      <c r="F44" s="53"/>
    </row>
    <row r="45" spans="2:6" ht="15.75" customHeight="1" x14ac:dyDescent="0.25">
      <c r="B45" s="54"/>
      <c r="C45" s="61"/>
      <c r="D45" s="61"/>
      <c r="E45" s="58"/>
      <c r="F45" s="53"/>
    </row>
    <row r="46" spans="2:6" ht="15.75" customHeight="1" x14ac:dyDescent="0.25">
      <c r="B46" s="53"/>
      <c r="C46" s="111"/>
      <c r="D46" s="109"/>
      <c r="E46" s="56"/>
      <c r="F46" s="56"/>
    </row>
    <row r="47" spans="2:6" ht="15.75" customHeight="1" x14ac:dyDescent="0.25">
      <c r="B47" s="48" t="s">
        <v>68</v>
      </c>
      <c r="C47" s="49"/>
      <c r="D47" s="49"/>
      <c r="E47" s="49"/>
      <c r="F47" s="50"/>
    </row>
    <row r="48" spans="2:6" ht="15.75" customHeight="1" x14ac:dyDescent="0.25">
      <c r="B48" s="51" t="s">
        <v>64</v>
      </c>
      <c r="C48" s="51">
        <v>2016</v>
      </c>
      <c r="D48" s="51">
        <v>2017</v>
      </c>
      <c r="E48" s="51">
        <v>2018</v>
      </c>
      <c r="F48" s="62" t="s">
        <v>69</v>
      </c>
    </row>
    <row r="49" spans="2:6" ht="15.75" customHeight="1" x14ac:dyDescent="0.25">
      <c r="B49" s="54">
        <v>1</v>
      </c>
      <c r="C49" s="63">
        <v>0.87</v>
      </c>
      <c r="D49" s="63">
        <v>0.73</v>
      </c>
      <c r="E49" s="63">
        <v>0.85</v>
      </c>
      <c r="F49" s="63">
        <v>0.82</v>
      </c>
    </row>
    <row r="50" spans="2:6" ht="15.75" customHeight="1" x14ac:dyDescent="0.25">
      <c r="B50" s="54">
        <v>2</v>
      </c>
      <c r="C50" s="63">
        <v>0.91</v>
      </c>
      <c r="D50" s="63">
        <v>0.85</v>
      </c>
      <c r="E50" s="63">
        <v>0.84</v>
      </c>
      <c r="F50" s="63">
        <v>0.86</v>
      </c>
    </row>
    <row r="51" spans="2:6" ht="15.75" customHeight="1" x14ac:dyDescent="0.25">
      <c r="B51" s="54">
        <v>3</v>
      </c>
      <c r="C51" s="63">
        <v>0.84</v>
      </c>
      <c r="D51" s="63">
        <v>0.82</v>
      </c>
      <c r="E51" s="63">
        <v>0.86</v>
      </c>
      <c r="F51" s="63">
        <v>0.84</v>
      </c>
    </row>
    <row r="52" spans="2:6" ht="15.75" customHeight="1" x14ac:dyDescent="0.25">
      <c r="B52" s="54">
        <v>4</v>
      </c>
      <c r="C52" s="63">
        <v>0.76</v>
      </c>
      <c r="D52" s="63">
        <v>0.74</v>
      </c>
      <c r="E52" s="63">
        <v>0.79</v>
      </c>
      <c r="F52" s="63">
        <v>0.76</v>
      </c>
    </row>
    <row r="53" spans="2:6" ht="15.75" customHeight="1" x14ac:dyDescent="0.25">
      <c r="B53" s="54">
        <v>5</v>
      </c>
      <c r="C53" s="63">
        <v>0.84</v>
      </c>
      <c r="D53" s="63">
        <v>0.83</v>
      </c>
      <c r="E53" s="63">
        <v>0.83</v>
      </c>
      <c r="F53" s="63">
        <v>0.83</v>
      </c>
    </row>
    <row r="54" spans="2:6" ht="15.75" customHeight="1" x14ac:dyDescent="0.25">
      <c r="B54" s="54">
        <v>6</v>
      </c>
      <c r="C54" s="63">
        <v>0.92</v>
      </c>
      <c r="D54" s="63">
        <v>0.88</v>
      </c>
      <c r="E54" s="63">
        <v>0.86</v>
      </c>
      <c r="F54" s="63">
        <v>0.89</v>
      </c>
    </row>
    <row r="55" spans="2:6" ht="15.75" customHeight="1" x14ac:dyDescent="0.25">
      <c r="B55" s="54">
        <v>7</v>
      </c>
      <c r="C55" s="63">
        <v>0.91</v>
      </c>
      <c r="D55" s="63">
        <v>0.83</v>
      </c>
      <c r="E55" s="63">
        <v>0.87</v>
      </c>
      <c r="F55" s="63">
        <v>0.87</v>
      </c>
    </row>
    <row r="56" spans="2:6" ht="15.75" customHeight="1" x14ac:dyDescent="0.25">
      <c r="B56" s="54">
        <v>8</v>
      </c>
      <c r="C56" s="63">
        <v>0.91</v>
      </c>
      <c r="D56" s="63">
        <v>0.9</v>
      </c>
      <c r="E56" s="63">
        <v>0.89</v>
      </c>
      <c r="F56" s="63">
        <v>0.9</v>
      </c>
    </row>
    <row r="57" spans="2:6" ht="15.75" customHeight="1" x14ac:dyDescent="0.25">
      <c r="B57" s="54">
        <v>9</v>
      </c>
      <c r="C57" s="63">
        <v>0.92</v>
      </c>
      <c r="D57" s="63">
        <v>0.87</v>
      </c>
      <c r="E57" s="63">
        <v>0.9</v>
      </c>
      <c r="F57" s="63">
        <v>0.9</v>
      </c>
    </row>
    <row r="58" spans="2:6" ht="15.75" customHeight="1" x14ac:dyDescent="0.25">
      <c r="B58" s="54">
        <v>10</v>
      </c>
      <c r="C58" s="63">
        <v>0.8</v>
      </c>
      <c r="D58" s="63">
        <v>0.78</v>
      </c>
      <c r="E58" s="63">
        <v>0.84</v>
      </c>
      <c r="F58" s="63">
        <v>0.81</v>
      </c>
    </row>
    <row r="59" spans="2:6" ht="15.75" customHeight="1" x14ac:dyDescent="0.25">
      <c r="B59" s="54">
        <v>11</v>
      </c>
      <c r="C59" s="63">
        <v>0.86</v>
      </c>
      <c r="D59" s="63">
        <v>0.83</v>
      </c>
      <c r="E59" s="63">
        <v>0.85</v>
      </c>
      <c r="F59" s="63">
        <v>0.85</v>
      </c>
    </row>
    <row r="60" spans="2:6" ht="15.75" customHeight="1" x14ac:dyDescent="0.25">
      <c r="B60" s="54">
        <v>12</v>
      </c>
      <c r="C60" s="63">
        <v>0.88</v>
      </c>
      <c r="D60" s="63">
        <v>0.85</v>
      </c>
      <c r="E60" s="63">
        <v>0.86</v>
      </c>
      <c r="F60" s="63">
        <v>0.86</v>
      </c>
    </row>
    <row r="61" spans="2:6" x14ac:dyDescent="0.25">
      <c r="B61" s="53"/>
      <c r="C61" s="53"/>
      <c r="D61" s="56"/>
      <c r="E61" s="56"/>
      <c r="F61" s="56"/>
    </row>
    <row r="62" spans="2:6" ht="15.75" customHeight="1" x14ac:dyDescent="0.25">
      <c r="B62" s="48" t="s">
        <v>70</v>
      </c>
      <c r="C62" s="49"/>
      <c r="D62" s="49"/>
      <c r="E62" s="49"/>
      <c r="F62" s="50"/>
    </row>
    <row r="63" spans="2:6" ht="15.75" customHeight="1" x14ac:dyDescent="0.25">
      <c r="B63" s="51" t="s">
        <v>64</v>
      </c>
      <c r="C63" s="51">
        <v>2016</v>
      </c>
      <c r="D63" s="51">
        <v>2017</v>
      </c>
      <c r="E63" s="51">
        <v>2018</v>
      </c>
      <c r="F63" s="62" t="s">
        <v>71</v>
      </c>
    </row>
    <row r="64" spans="2:6" ht="15.75" customHeight="1" x14ac:dyDescent="0.25">
      <c r="B64" s="54">
        <v>1</v>
      </c>
      <c r="C64" s="63">
        <v>0.87</v>
      </c>
      <c r="D64" s="63">
        <v>0.75</v>
      </c>
      <c r="E64" s="63">
        <v>0.8</v>
      </c>
      <c r="F64" s="63">
        <v>0.81</v>
      </c>
    </row>
    <row r="65" spans="2:6" ht="15.75" customHeight="1" x14ac:dyDescent="0.25">
      <c r="B65" s="54">
        <v>2</v>
      </c>
      <c r="C65" s="63">
        <v>0.84</v>
      </c>
      <c r="D65" s="63">
        <v>0.82</v>
      </c>
      <c r="E65" s="63">
        <v>0.71</v>
      </c>
      <c r="F65" s="63">
        <v>0.79</v>
      </c>
    </row>
    <row r="66" spans="2:6" ht="15.75" customHeight="1" x14ac:dyDescent="0.25">
      <c r="B66" s="54">
        <v>3</v>
      </c>
      <c r="C66" s="63">
        <v>0.7</v>
      </c>
      <c r="D66" s="63">
        <v>0.74</v>
      </c>
      <c r="E66" s="63">
        <v>0.75</v>
      </c>
      <c r="F66" s="63">
        <v>0.73</v>
      </c>
    </row>
    <row r="67" spans="2:6" ht="15.75" customHeight="1" x14ac:dyDescent="0.25">
      <c r="B67" s="54">
        <v>4</v>
      </c>
      <c r="C67" s="63">
        <v>0.67</v>
      </c>
      <c r="D67" s="63">
        <v>0.63</v>
      </c>
      <c r="E67" s="63">
        <v>0.68</v>
      </c>
      <c r="F67" s="63">
        <v>0.66</v>
      </c>
    </row>
    <row r="68" spans="2:6" ht="15.75" customHeight="1" x14ac:dyDescent="0.25">
      <c r="B68" s="54">
        <v>5</v>
      </c>
      <c r="C68" s="63">
        <v>0.83</v>
      </c>
      <c r="D68" s="63">
        <v>0.76</v>
      </c>
      <c r="E68" s="63">
        <v>0.79</v>
      </c>
      <c r="F68" s="63">
        <v>0.79</v>
      </c>
    </row>
    <row r="69" spans="2:6" ht="15.75" customHeight="1" x14ac:dyDescent="0.25">
      <c r="B69" s="54">
        <v>6</v>
      </c>
      <c r="C69" s="63">
        <v>0.85</v>
      </c>
      <c r="D69" s="63">
        <v>0.86</v>
      </c>
      <c r="E69" s="63">
        <v>0.84</v>
      </c>
      <c r="F69" s="63">
        <v>0.85</v>
      </c>
    </row>
    <row r="70" spans="2:6" ht="15.75" customHeight="1" x14ac:dyDescent="0.25">
      <c r="B70" s="54">
        <v>7</v>
      </c>
      <c r="C70" s="63">
        <v>0.86</v>
      </c>
      <c r="D70" s="63">
        <v>0.84</v>
      </c>
      <c r="E70" s="63">
        <v>0.79</v>
      </c>
      <c r="F70" s="63">
        <v>0.83</v>
      </c>
    </row>
    <row r="71" spans="2:6" ht="15.75" customHeight="1" x14ac:dyDescent="0.25">
      <c r="B71" s="54">
        <v>8</v>
      </c>
      <c r="C71" s="63">
        <v>0.81</v>
      </c>
      <c r="D71" s="63">
        <v>0.82</v>
      </c>
      <c r="E71" s="63">
        <v>0.85</v>
      </c>
      <c r="F71" s="63">
        <v>0.83</v>
      </c>
    </row>
    <row r="72" spans="2:6" ht="15.75" customHeight="1" x14ac:dyDescent="0.25">
      <c r="B72" s="54">
        <v>9</v>
      </c>
      <c r="C72" s="63">
        <v>0.78</v>
      </c>
      <c r="D72" s="63">
        <v>0.83</v>
      </c>
      <c r="E72" s="63">
        <v>0.8</v>
      </c>
      <c r="F72" s="63">
        <v>0.8</v>
      </c>
    </row>
    <row r="73" spans="2:6" ht="15.75" customHeight="1" x14ac:dyDescent="0.25">
      <c r="B73" s="54">
        <v>10</v>
      </c>
      <c r="C73" s="63">
        <v>0.73</v>
      </c>
      <c r="D73" s="63">
        <v>0.69</v>
      </c>
      <c r="E73" s="63">
        <v>0.74</v>
      </c>
      <c r="F73" s="63">
        <v>0.72</v>
      </c>
    </row>
    <row r="74" spans="2:6" ht="15.75" customHeight="1" x14ac:dyDescent="0.25">
      <c r="B74" s="54">
        <v>11</v>
      </c>
      <c r="C74" s="63">
        <v>0.8</v>
      </c>
      <c r="D74" s="63">
        <v>0.81</v>
      </c>
      <c r="E74" s="63">
        <v>0.72</v>
      </c>
      <c r="F74" s="63">
        <v>0.78</v>
      </c>
    </row>
    <row r="75" spans="2:6" ht="15.75" customHeight="1" x14ac:dyDescent="0.25">
      <c r="B75" s="54">
        <v>12</v>
      </c>
      <c r="C75" s="63">
        <v>0.81</v>
      </c>
      <c r="D75" s="63">
        <v>0.84</v>
      </c>
      <c r="E75" s="63">
        <v>0.82</v>
      </c>
      <c r="F75" s="63">
        <v>0.82</v>
      </c>
    </row>
    <row r="76" spans="2:6" x14ac:dyDescent="0.25">
      <c r="B76" s="53"/>
      <c r="C76" s="53"/>
      <c r="D76" s="56"/>
      <c r="E76" s="56"/>
      <c r="F76" s="56"/>
    </row>
    <row r="77" spans="2:6" ht="15.75" customHeight="1" x14ac:dyDescent="0.25">
      <c r="B77" s="48" t="s">
        <v>72</v>
      </c>
      <c r="C77" s="49"/>
      <c r="D77" s="49"/>
      <c r="E77" s="49"/>
      <c r="F77" s="50"/>
    </row>
    <row r="78" spans="2:6" ht="15.75" customHeight="1" x14ac:dyDescent="0.25">
      <c r="B78" s="51" t="s">
        <v>64</v>
      </c>
      <c r="C78" s="51">
        <v>2016</v>
      </c>
      <c r="D78" s="51">
        <v>2017</v>
      </c>
      <c r="E78" s="51">
        <v>2018</v>
      </c>
      <c r="F78" s="62" t="s">
        <v>73</v>
      </c>
    </row>
    <row r="79" spans="2:6" ht="15.75" customHeight="1" x14ac:dyDescent="0.25">
      <c r="B79" s="54">
        <v>1</v>
      </c>
      <c r="C79" s="63">
        <v>0.95</v>
      </c>
      <c r="D79" s="63">
        <v>0.97</v>
      </c>
      <c r="E79" s="63">
        <v>0.94</v>
      </c>
      <c r="F79" s="63">
        <v>0.95</v>
      </c>
    </row>
    <row r="80" spans="2:6" ht="15.75" customHeight="1" x14ac:dyDescent="0.25">
      <c r="B80" s="54">
        <v>2</v>
      </c>
      <c r="C80" s="63">
        <v>0.89</v>
      </c>
      <c r="D80" s="63">
        <v>0.93</v>
      </c>
      <c r="E80" s="63">
        <v>0.94</v>
      </c>
      <c r="F80" s="63">
        <v>0.92</v>
      </c>
    </row>
    <row r="81" spans="2:6" ht="15.75" customHeight="1" x14ac:dyDescent="0.25">
      <c r="B81" s="54">
        <v>3</v>
      </c>
      <c r="C81" s="63">
        <v>0.88</v>
      </c>
      <c r="D81" s="63">
        <v>0.85</v>
      </c>
      <c r="E81" s="63">
        <v>0.9</v>
      </c>
      <c r="F81" s="63">
        <v>0.88</v>
      </c>
    </row>
    <row r="82" spans="2:6" ht="15.75" customHeight="1" x14ac:dyDescent="0.25">
      <c r="B82" s="54">
        <v>4</v>
      </c>
      <c r="C82" s="63">
        <v>0.79</v>
      </c>
      <c r="D82" s="63">
        <v>0.87</v>
      </c>
      <c r="E82" s="63">
        <v>0.63</v>
      </c>
      <c r="F82" s="63">
        <v>0.76</v>
      </c>
    </row>
    <row r="83" spans="2:6" ht="15.75" customHeight="1" x14ac:dyDescent="0.25">
      <c r="B83" s="54">
        <v>5</v>
      </c>
      <c r="C83" s="63">
        <v>0.69</v>
      </c>
      <c r="D83" s="63">
        <v>0.8</v>
      </c>
      <c r="E83" s="63">
        <v>0.71</v>
      </c>
      <c r="F83" s="63">
        <v>0.74</v>
      </c>
    </row>
    <row r="84" spans="2:6" ht="15.75" customHeight="1" x14ac:dyDescent="0.25">
      <c r="B84" s="54">
        <v>6</v>
      </c>
      <c r="C84" s="63">
        <v>0.67</v>
      </c>
      <c r="D84" s="63">
        <v>0.7</v>
      </c>
      <c r="E84" s="63">
        <v>0.74</v>
      </c>
      <c r="F84" s="63">
        <v>0.7</v>
      </c>
    </row>
    <row r="85" spans="2:6" ht="15.75" customHeight="1" x14ac:dyDescent="0.25">
      <c r="B85" s="54">
        <v>7</v>
      </c>
      <c r="C85" s="63">
        <v>0.77</v>
      </c>
      <c r="D85" s="63">
        <v>0.84</v>
      </c>
      <c r="E85" s="63">
        <v>0.91</v>
      </c>
      <c r="F85" s="63">
        <v>0.84</v>
      </c>
    </row>
    <row r="86" spans="2:6" ht="15.75" customHeight="1" x14ac:dyDescent="0.25">
      <c r="B86" s="54">
        <v>8</v>
      </c>
      <c r="C86" s="63">
        <v>0.76</v>
      </c>
      <c r="D86" s="63">
        <v>0.75</v>
      </c>
      <c r="E86" s="63">
        <v>0.95</v>
      </c>
      <c r="F86" s="63">
        <v>0.82</v>
      </c>
    </row>
    <row r="87" spans="2:6" ht="15.75" customHeight="1" x14ac:dyDescent="0.25">
      <c r="B87" s="54">
        <v>9</v>
      </c>
      <c r="C87" s="63">
        <v>0.78</v>
      </c>
      <c r="D87" s="63">
        <v>0.78</v>
      </c>
      <c r="E87" s="63">
        <v>0.93</v>
      </c>
      <c r="F87" s="63">
        <v>0.83</v>
      </c>
    </row>
    <row r="88" spans="2:6" ht="15.75" customHeight="1" x14ac:dyDescent="0.25">
      <c r="B88" s="54">
        <v>10</v>
      </c>
      <c r="C88" s="63">
        <v>0.86</v>
      </c>
      <c r="D88" s="63">
        <v>0.82</v>
      </c>
      <c r="E88" s="63">
        <v>0.91</v>
      </c>
      <c r="F88" s="63">
        <v>0.86</v>
      </c>
    </row>
    <row r="89" spans="2:6" ht="15.75" customHeight="1" x14ac:dyDescent="0.25">
      <c r="B89" s="54">
        <v>11</v>
      </c>
      <c r="C89" s="63">
        <v>0.9</v>
      </c>
      <c r="D89" s="63">
        <v>0.93</v>
      </c>
      <c r="E89" s="63">
        <v>0.95</v>
      </c>
      <c r="F89" s="63">
        <v>0.93</v>
      </c>
    </row>
    <row r="90" spans="2:6" ht="15.75" customHeight="1" x14ac:dyDescent="0.25">
      <c r="B90" s="54">
        <v>12</v>
      </c>
      <c r="C90" s="63">
        <v>0.94</v>
      </c>
      <c r="D90" s="63">
        <v>0.94</v>
      </c>
      <c r="E90" s="63">
        <v>0.98</v>
      </c>
      <c r="F90" s="63">
        <v>0.95</v>
      </c>
    </row>
    <row r="91" spans="2:6" x14ac:dyDescent="0.25">
      <c r="B91" s="53"/>
      <c r="C91" s="53"/>
      <c r="D91" s="56"/>
      <c r="E91" s="56"/>
      <c r="F91" s="56"/>
    </row>
    <row r="92" spans="2:6" x14ac:dyDescent="0.25">
      <c r="B92" s="53"/>
      <c r="C92" s="53"/>
      <c r="D92" s="56"/>
      <c r="E92" s="56"/>
      <c r="F92" s="56"/>
    </row>
    <row r="93" spans="2:6" ht="15.75" customHeight="1" x14ac:dyDescent="0.25">
      <c r="B93" s="64" t="s">
        <v>74</v>
      </c>
      <c r="C93" s="49"/>
      <c r="D93" s="49"/>
      <c r="E93" s="49"/>
      <c r="F93" s="50"/>
    </row>
    <row r="94" spans="2:6" ht="15.75" customHeight="1" x14ac:dyDescent="0.25">
      <c r="B94" s="51" t="s">
        <v>64</v>
      </c>
      <c r="C94" s="51">
        <v>2016</v>
      </c>
      <c r="D94" s="51">
        <v>2017</v>
      </c>
      <c r="E94" s="51">
        <v>2018</v>
      </c>
      <c r="F94" s="62" t="s">
        <v>75</v>
      </c>
    </row>
    <row r="95" spans="2:6" ht="15.75" customHeight="1" x14ac:dyDescent="0.25">
      <c r="B95" s="54">
        <v>1</v>
      </c>
      <c r="C95" s="63">
        <v>0.59</v>
      </c>
      <c r="D95" s="63">
        <v>0.57999999999999996</v>
      </c>
      <c r="E95" s="63">
        <v>0.61</v>
      </c>
      <c r="F95" s="63">
        <v>0.6</v>
      </c>
    </row>
    <row r="96" spans="2:6" ht="15.75" customHeight="1" x14ac:dyDescent="0.25">
      <c r="B96" s="54">
        <v>2</v>
      </c>
      <c r="C96" s="63">
        <v>0.76</v>
      </c>
      <c r="D96" s="63">
        <v>0.68</v>
      </c>
      <c r="E96" s="63">
        <v>0.65</v>
      </c>
      <c r="F96" s="63">
        <v>0.7</v>
      </c>
    </row>
    <row r="97" spans="1:6" ht="15.75" customHeight="1" x14ac:dyDescent="0.25">
      <c r="B97" s="54">
        <v>3</v>
      </c>
      <c r="C97" s="63">
        <v>0.7</v>
      </c>
      <c r="D97" s="63">
        <v>0.83</v>
      </c>
      <c r="E97" s="63">
        <v>0.67</v>
      </c>
      <c r="F97" s="63">
        <v>0.73</v>
      </c>
    </row>
    <row r="98" spans="1:6" ht="15.75" customHeight="1" x14ac:dyDescent="0.25">
      <c r="B98" s="54">
        <v>4</v>
      </c>
      <c r="C98" s="63">
        <v>0.68</v>
      </c>
      <c r="D98" s="63">
        <v>0.77</v>
      </c>
      <c r="E98" s="63">
        <v>0.73</v>
      </c>
      <c r="F98" s="63">
        <v>0.72</v>
      </c>
    </row>
    <row r="99" spans="1:6" ht="15.75" customHeight="1" x14ac:dyDescent="0.25">
      <c r="B99" s="54">
        <v>5</v>
      </c>
      <c r="C99" s="63">
        <v>0.7</v>
      </c>
      <c r="D99" s="63">
        <v>0.64</v>
      </c>
      <c r="E99" s="63">
        <v>0.72</v>
      </c>
      <c r="F99" s="63">
        <v>0.69</v>
      </c>
    </row>
    <row r="100" spans="1:6" ht="15.75" customHeight="1" x14ac:dyDescent="0.25">
      <c r="B100" s="54">
        <v>6</v>
      </c>
      <c r="C100" s="63">
        <v>0.72</v>
      </c>
      <c r="D100" s="63">
        <v>0.77</v>
      </c>
      <c r="E100" s="63">
        <v>0.72</v>
      </c>
      <c r="F100" s="63">
        <v>0.74</v>
      </c>
    </row>
    <row r="101" spans="1:6" ht="15.75" customHeight="1" x14ac:dyDescent="0.25">
      <c r="B101" s="54">
        <v>7</v>
      </c>
      <c r="C101" s="63">
        <v>0.66</v>
      </c>
      <c r="D101" s="63">
        <v>0.8</v>
      </c>
      <c r="E101" s="63">
        <v>0.74</v>
      </c>
      <c r="F101" s="63">
        <v>0.73</v>
      </c>
    </row>
    <row r="102" spans="1:6" ht="15.75" customHeight="1" x14ac:dyDescent="0.25">
      <c r="B102" s="54">
        <v>8</v>
      </c>
      <c r="C102" s="63">
        <v>0.74</v>
      </c>
      <c r="D102" s="63">
        <v>0.72</v>
      </c>
      <c r="E102" s="63">
        <v>0.7</v>
      </c>
      <c r="F102" s="63">
        <v>0.72</v>
      </c>
    </row>
    <row r="103" spans="1:6" ht="15.75" customHeight="1" x14ac:dyDescent="0.25">
      <c r="B103" s="54">
        <v>9</v>
      </c>
      <c r="C103" s="63">
        <v>0.65</v>
      </c>
      <c r="D103" s="63">
        <v>0.72</v>
      </c>
      <c r="E103" s="63">
        <v>0.77</v>
      </c>
      <c r="F103" s="63">
        <v>0.71</v>
      </c>
    </row>
    <row r="104" spans="1:6" ht="15.75" customHeight="1" x14ac:dyDescent="0.25">
      <c r="B104" s="54">
        <v>10</v>
      </c>
      <c r="C104" s="63">
        <v>0.56999999999999995</v>
      </c>
      <c r="D104" s="63">
        <v>0.64</v>
      </c>
      <c r="E104" s="63">
        <v>0.69</v>
      </c>
      <c r="F104" s="63">
        <v>0.64</v>
      </c>
    </row>
    <row r="105" spans="1:6" ht="15.75" customHeight="1" x14ac:dyDescent="0.25">
      <c r="B105" s="54">
        <v>11</v>
      </c>
      <c r="C105" s="63">
        <v>0.53</v>
      </c>
      <c r="D105" s="63">
        <v>0.6</v>
      </c>
      <c r="E105" s="63">
        <v>0.55000000000000004</v>
      </c>
      <c r="F105" s="63">
        <v>0.56000000000000005</v>
      </c>
    </row>
    <row r="106" spans="1:6" ht="15.75" customHeight="1" x14ac:dyDescent="0.25">
      <c r="B106" s="54">
        <v>12</v>
      </c>
      <c r="C106" s="63">
        <v>0.6</v>
      </c>
      <c r="D106" s="63">
        <v>0.73</v>
      </c>
      <c r="E106" s="63">
        <v>0.57999999999999996</v>
      </c>
      <c r="F106" s="63">
        <v>0.64</v>
      </c>
    </row>
    <row r="107" spans="1:6" x14ac:dyDescent="0.25">
      <c r="D107" s="46"/>
      <c r="E107" s="46"/>
      <c r="F107" s="46"/>
    </row>
    <row r="108" spans="1:6" x14ac:dyDescent="0.25">
      <c r="D108" s="46"/>
      <c r="E108" s="46"/>
      <c r="F108" s="46"/>
    </row>
    <row r="109" spans="1:6" x14ac:dyDescent="0.25">
      <c r="D109" s="46"/>
      <c r="E109" s="46"/>
      <c r="F109" s="46"/>
    </row>
    <row r="110" spans="1:6" x14ac:dyDescent="0.25">
      <c r="A110" s="5" t="s">
        <v>76</v>
      </c>
      <c r="D110" s="46"/>
      <c r="E110" s="46"/>
      <c r="F110" s="46"/>
    </row>
    <row r="111" spans="1:6" x14ac:dyDescent="0.25">
      <c r="A111" s="5" t="s">
        <v>77</v>
      </c>
      <c r="D111" s="46"/>
      <c r="E111" s="46"/>
      <c r="F111" s="46"/>
    </row>
  </sheetData>
  <mergeCells count="27">
    <mergeCell ref="C36:D36"/>
    <mergeCell ref="C37:D37"/>
    <mergeCell ref="C46:D46"/>
    <mergeCell ref="C30:D30"/>
    <mergeCell ref="C31:D31"/>
    <mergeCell ref="C32:D32"/>
    <mergeCell ref="C33:D33"/>
    <mergeCell ref="C34:D34"/>
    <mergeCell ref="C35:D35"/>
    <mergeCell ref="C29:D29"/>
    <mergeCell ref="C15:D15"/>
    <mergeCell ref="C16:D16"/>
    <mergeCell ref="C17:D17"/>
    <mergeCell ref="C18:D18"/>
    <mergeCell ref="C19:D19"/>
    <mergeCell ref="C20:D20"/>
    <mergeCell ref="C21:D21"/>
    <mergeCell ref="C25:D25"/>
    <mergeCell ref="C26:D26"/>
    <mergeCell ref="C27:D27"/>
    <mergeCell ref="C28:D28"/>
    <mergeCell ref="C14:D14"/>
    <mergeCell ref="C9:D9"/>
    <mergeCell ref="C10:D10"/>
    <mergeCell ref="C11:D11"/>
    <mergeCell ref="C12:D12"/>
    <mergeCell ref="C13:D13"/>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5" x14ac:dyDescent="0.25"/>
  <cols>
    <col min="1" max="1" width="4.28515625" customWidth="1"/>
    <col min="2" max="2" width="10.140625" customWidth="1"/>
    <col min="257" max="257" width="4.28515625" customWidth="1"/>
    <col min="258" max="258" width="10.140625" customWidth="1"/>
    <col min="513" max="513" width="4.28515625" customWidth="1"/>
    <col min="514" max="514" width="10.140625" customWidth="1"/>
    <col min="769" max="769" width="4.28515625" customWidth="1"/>
    <col min="770" max="770" width="10.140625" customWidth="1"/>
    <col min="1025" max="1025" width="4.28515625" customWidth="1"/>
    <col min="1026" max="1026" width="10.140625" customWidth="1"/>
    <col min="1281" max="1281" width="4.28515625" customWidth="1"/>
    <col min="1282" max="1282" width="10.140625" customWidth="1"/>
    <col min="1537" max="1537" width="4.28515625" customWidth="1"/>
    <col min="1538" max="1538" width="10.140625" customWidth="1"/>
    <col min="1793" max="1793" width="4.28515625" customWidth="1"/>
    <col min="1794" max="1794" width="10.140625" customWidth="1"/>
    <col min="2049" max="2049" width="4.28515625" customWidth="1"/>
    <col min="2050" max="2050" width="10.140625" customWidth="1"/>
    <col min="2305" max="2305" width="4.28515625" customWidth="1"/>
    <col min="2306" max="2306" width="10.140625" customWidth="1"/>
    <col min="2561" max="2561" width="4.28515625" customWidth="1"/>
    <col min="2562" max="2562" width="10.140625" customWidth="1"/>
    <col min="2817" max="2817" width="4.28515625" customWidth="1"/>
    <col min="2818" max="2818" width="10.140625" customWidth="1"/>
    <col min="3073" max="3073" width="4.28515625" customWidth="1"/>
    <col min="3074" max="3074" width="10.140625" customWidth="1"/>
    <col min="3329" max="3329" width="4.28515625" customWidth="1"/>
    <col min="3330" max="3330" width="10.140625" customWidth="1"/>
    <col min="3585" max="3585" width="4.28515625" customWidth="1"/>
    <col min="3586" max="3586" width="10.140625" customWidth="1"/>
    <col min="3841" max="3841" width="4.28515625" customWidth="1"/>
    <col min="3842" max="3842" width="10.140625" customWidth="1"/>
    <col min="4097" max="4097" width="4.28515625" customWidth="1"/>
    <col min="4098" max="4098" width="10.140625" customWidth="1"/>
    <col min="4353" max="4353" width="4.28515625" customWidth="1"/>
    <col min="4354" max="4354" width="10.140625" customWidth="1"/>
    <col min="4609" max="4609" width="4.28515625" customWidth="1"/>
    <col min="4610" max="4610" width="10.140625" customWidth="1"/>
    <col min="4865" max="4865" width="4.28515625" customWidth="1"/>
    <col min="4866" max="4866" width="10.140625" customWidth="1"/>
    <col min="5121" max="5121" width="4.28515625" customWidth="1"/>
    <col min="5122" max="5122" width="10.140625" customWidth="1"/>
    <col min="5377" max="5377" width="4.28515625" customWidth="1"/>
    <col min="5378" max="5378" width="10.140625" customWidth="1"/>
    <col min="5633" max="5633" width="4.28515625" customWidth="1"/>
    <col min="5634" max="5634" width="10.140625" customWidth="1"/>
    <col min="5889" max="5889" width="4.28515625" customWidth="1"/>
    <col min="5890" max="5890" width="10.140625" customWidth="1"/>
    <col min="6145" max="6145" width="4.28515625" customWidth="1"/>
    <col min="6146" max="6146" width="10.140625" customWidth="1"/>
    <col min="6401" max="6401" width="4.28515625" customWidth="1"/>
    <col min="6402" max="6402" width="10.140625" customWidth="1"/>
    <col min="6657" max="6657" width="4.28515625" customWidth="1"/>
    <col min="6658" max="6658" width="10.140625" customWidth="1"/>
    <col min="6913" max="6913" width="4.28515625" customWidth="1"/>
    <col min="6914" max="6914" width="10.140625" customWidth="1"/>
    <col min="7169" max="7169" width="4.28515625" customWidth="1"/>
    <col min="7170" max="7170" width="10.140625" customWidth="1"/>
    <col min="7425" max="7425" width="4.28515625" customWidth="1"/>
    <col min="7426" max="7426" width="10.140625" customWidth="1"/>
    <col min="7681" max="7681" width="4.28515625" customWidth="1"/>
    <col min="7682" max="7682" width="10.140625" customWidth="1"/>
    <col min="7937" max="7937" width="4.28515625" customWidth="1"/>
    <col min="7938" max="7938" width="10.140625" customWidth="1"/>
    <col min="8193" max="8193" width="4.28515625" customWidth="1"/>
    <col min="8194" max="8194" width="10.140625" customWidth="1"/>
    <col min="8449" max="8449" width="4.28515625" customWidth="1"/>
    <col min="8450" max="8450" width="10.140625" customWidth="1"/>
    <col min="8705" max="8705" width="4.28515625" customWidth="1"/>
    <col min="8706" max="8706" width="10.140625" customWidth="1"/>
    <col min="8961" max="8961" width="4.28515625" customWidth="1"/>
    <col min="8962" max="8962" width="10.140625" customWidth="1"/>
    <col min="9217" max="9217" width="4.28515625" customWidth="1"/>
    <col min="9218" max="9218" width="10.140625" customWidth="1"/>
    <col min="9473" max="9473" width="4.28515625" customWidth="1"/>
    <col min="9474" max="9474" width="10.140625" customWidth="1"/>
    <col min="9729" max="9729" width="4.28515625" customWidth="1"/>
    <col min="9730" max="9730" width="10.140625" customWidth="1"/>
    <col min="9985" max="9985" width="4.28515625" customWidth="1"/>
    <col min="9986" max="9986" width="10.140625" customWidth="1"/>
    <col min="10241" max="10241" width="4.28515625" customWidth="1"/>
    <col min="10242" max="10242" width="10.140625" customWidth="1"/>
    <col min="10497" max="10497" width="4.28515625" customWidth="1"/>
    <col min="10498" max="10498" width="10.140625" customWidth="1"/>
    <col min="10753" max="10753" width="4.28515625" customWidth="1"/>
    <col min="10754" max="10754" width="10.140625" customWidth="1"/>
    <col min="11009" max="11009" width="4.28515625" customWidth="1"/>
    <col min="11010" max="11010" width="10.140625" customWidth="1"/>
    <col min="11265" max="11265" width="4.28515625" customWidth="1"/>
    <col min="11266" max="11266" width="10.140625" customWidth="1"/>
    <col min="11521" max="11521" width="4.28515625" customWidth="1"/>
    <col min="11522" max="11522" width="10.140625" customWidth="1"/>
    <col min="11777" max="11777" width="4.28515625" customWidth="1"/>
    <col min="11778" max="11778" width="10.140625" customWidth="1"/>
    <col min="12033" max="12033" width="4.28515625" customWidth="1"/>
    <col min="12034" max="12034" width="10.140625" customWidth="1"/>
    <col min="12289" max="12289" width="4.28515625" customWidth="1"/>
    <col min="12290" max="12290" width="10.140625" customWidth="1"/>
    <col min="12545" max="12545" width="4.28515625" customWidth="1"/>
    <col min="12546" max="12546" width="10.140625" customWidth="1"/>
    <col min="12801" max="12801" width="4.28515625" customWidth="1"/>
    <col min="12802" max="12802" width="10.140625" customWidth="1"/>
    <col min="13057" max="13057" width="4.28515625" customWidth="1"/>
    <col min="13058" max="13058" width="10.140625" customWidth="1"/>
    <col min="13313" max="13313" width="4.28515625" customWidth="1"/>
    <col min="13314" max="13314" width="10.140625" customWidth="1"/>
    <col min="13569" max="13569" width="4.28515625" customWidth="1"/>
    <col min="13570" max="13570" width="10.140625" customWidth="1"/>
    <col min="13825" max="13825" width="4.28515625" customWidth="1"/>
    <col min="13826" max="13826" width="10.140625" customWidth="1"/>
    <col min="14081" max="14081" width="4.28515625" customWidth="1"/>
    <col min="14082" max="14082" width="10.140625" customWidth="1"/>
    <col min="14337" max="14337" width="4.28515625" customWidth="1"/>
    <col min="14338" max="14338" width="10.140625" customWidth="1"/>
    <col min="14593" max="14593" width="4.28515625" customWidth="1"/>
    <col min="14594" max="14594" width="10.140625" customWidth="1"/>
    <col min="14849" max="14849" width="4.28515625" customWidth="1"/>
    <col min="14850" max="14850" width="10.140625" customWidth="1"/>
    <col min="15105" max="15105" width="4.28515625" customWidth="1"/>
    <col min="15106" max="15106" width="10.140625" customWidth="1"/>
    <col min="15361" max="15361" width="4.28515625" customWidth="1"/>
    <col min="15362" max="15362" width="10.140625" customWidth="1"/>
    <col min="15617" max="15617" width="4.28515625" customWidth="1"/>
    <col min="15618" max="15618" width="10.140625" customWidth="1"/>
    <col min="15873" max="15873" width="4.28515625" customWidth="1"/>
    <col min="15874" max="15874" width="10.140625" customWidth="1"/>
    <col min="16129" max="16129" width="4.28515625" customWidth="1"/>
    <col min="16130" max="16130" width="10.140625" customWidth="1"/>
  </cols>
  <sheetData>
    <row r="1" spans="1:16" x14ac:dyDescent="0.25">
      <c r="A1" s="6"/>
      <c r="B1" s="65" t="s">
        <v>78</v>
      </c>
    </row>
    <row r="2" spans="1:16" x14ac:dyDescent="0.25">
      <c r="A2" s="6"/>
      <c r="J2" s="66" t="s">
        <v>79</v>
      </c>
    </row>
    <row r="3" spans="1:16" x14ac:dyDescent="0.25">
      <c r="A3" s="6"/>
      <c r="B3" s="115" t="s">
        <v>80</v>
      </c>
      <c r="C3" s="116"/>
      <c r="D3" s="116"/>
      <c r="E3" s="116"/>
      <c r="F3" s="116"/>
      <c r="G3" s="116"/>
      <c r="H3" s="117"/>
      <c r="J3" s="67" t="s">
        <v>81</v>
      </c>
      <c r="K3" s="67" t="s">
        <v>82</v>
      </c>
      <c r="L3" s="67" t="s">
        <v>83</v>
      </c>
    </row>
    <row r="4" spans="1:16" x14ac:dyDescent="0.25">
      <c r="A4" s="6"/>
      <c r="B4" s="115" t="s">
        <v>84</v>
      </c>
      <c r="C4" s="116"/>
      <c r="D4" s="116"/>
      <c r="E4" s="116"/>
      <c r="F4" s="116"/>
      <c r="G4" s="116"/>
      <c r="H4" s="117"/>
      <c r="I4" s="8"/>
      <c r="J4" s="68">
        <f>SUMPRODUCT(C7:C16,D7:D16)/SUM(D7:D16)</f>
        <v>0.32491693837102709</v>
      </c>
      <c r="K4" s="68">
        <f>SUMPRODUCT(E7:E16,F7:F16)/SUM(F7:F16)</f>
        <v>0.42750905166194864</v>
      </c>
      <c r="L4" s="68">
        <f>SUMPRODUCT(G7:G16,H7:H16)/SUM(H7:H16)</f>
        <v>0.1917136686385521</v>
      </c>
    </row>
    <row r="5" spans="1:16" x14ac:dyDescent="0.25">
      <c r="A5" s="6"/>
      <c r="B5" s="69" t="s">
        <v>85</v>
      </c>
      <c r="C5" s="118" t="s">
        <v>86</v>
      </c>
      <c r="D5" s="119"/>
      <c r="E5" s="118" t="s">
        <v>87</v>
      </c>
      <c r="F5" s="119"/>
      <c r="G5" s="120" t="s">
        <v>88</v>
      </c>
      <c r="H5" s="117"/>
      <c r="I5" s="8"/>
      <c r="J5" s="9"/>
      <c r="K5" s="9"/>
      <c r="L5" s="9"/>
    </row>
    <row r="6" spans="1:16" ht="75" customHeight="1" x14ac:dyDescent="0.25">
      <c r="A6" s="6"/>
      <c r="B6" s="70" t="s">
        <v>89</v>
      </c>
      <c r="C6" s="71" t="s">
        <v>90</v>
      </c>
      <c r="D6" s="67" t="s">
        <v>91</v>
      </c>
      <c r="E6" s="71" t="s">
        <v>90</v>
      </c>
      <c r="F6" s="67" t="s">
        <v>91</v>
      </c>
      <c r="G6" s="71" t="s">
        <v>90</v>
      </c>
      <c r="H6" s="67" t="s">
        <v>91</v>
      </c>
      <c r="I6" s="8"/>
      <c r="J6" s="121" t="s">
        <v>92</v>
      </c>
      <c r="K6" s="122"/>
      <c r="L6" s="122"/>
      <c r="M6" s="122"/>
      <c r="N6" s="122"/>
      <c r="O6" s="122"/>
      <c r="P6" s="122"/>
    </row>
    <row r="7" spans="1:16" x14ac:dyDescent="0.2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2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2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2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2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25">
      <c r="B12" s="7" t="s">
        <v>98</v>
      </c>
      <c r="C12" s="72">
        <v>0.2271297943939844</v>
      </c>
      <c r="D12" s="73">
        <v>207</v>
      </c>
      <c r="E12" s="72">
        <v>0.42284951901881168</v>
      </c>
      <c r="F12" s="73">
        <v>1671.4</v>
      </c>
      <c r="G12" s="72">
        <v>0.1070078723318266</v>
      </c>
      <c r="H12" s="73">
        <v>8858.8000000000011</v>
      </c>
      <c r="I12" s="8"/>
      <c r="J12" s="8"/>
    </row>
    <row r="13" spans="1:16" x14ac:dyDescent="0.25">
      <c r="B13" s="7" t="s">
        <v>99</v>
      </c>
      <c r="C13" s="72">
        <v>0.36173636548636562</v>
      </c>
      <c r="D13" s="73">
        <v>207</v>
      </c>
      <c r="E13" s="72">
        <v>0.4366005309436829</v>
      </c>
      <c r="F13" s="73">
        <v>1269.7</v>
      </c>
      <c r="G13" s="72">
        <v>0.17265001284430939</v>
      </c>
      <c r="H13" s="73">
        <v>8789.4000000000015</v>
      </c>
      <c r="I13" s="8"/>
      <c r="J13" s="8"/>
    </row>
    <row r="14" spans="1:16" x14ac:dyDescent="0.25">
      <c r="B14" s="7" t="s">
        <v>100</v>
      </c>
      <c r="C14" s="72">
        <v>0.23047624798711761</v>
      </c>
      <c r="D14" s="73">
        <v>207</v>
      </c>
      <c r="E14" s="72">
        <v>0.32465499187296831</v>
      </c>
      <c r="F14" s="73">
        <v>1066.4000000000001</v>
      </c>
      <c r="G14" s="72">
        <v>0.16685320615394869</v>
      </c>
      <c r="H14" s="73">
        <v>7999.1999999999989</v>
      </c>
      <c r="I14" s="8"/>
      <c r="J14" s="8"/>
    </row>
    <row r="15" spans="1:16" x14ac:dyDescent="0.25">
      <c r="B15" s="7" t="s">
        <v>101</v>
      </c>
      <c r="C15" s="72">
        <v>0.38469326768239809</v>
      </c>
      <c r="D15" s="73">
        <v>207</v>
      </c>
      <c r="E15" s="72">
        <v>0.15738835824145481</v>
      </c>
      <c r="F15" s="73">
        <v>965.59999999999991</v>
      </c>
      <c r="G15" s="72">
        <v>0.20275638435030671</v>
      </c>
      <c r="H15" s="73">
        <v>7670.6999999999989</v>
      </c>
      <c r="I15" s="8"/>
      <c r="J15" s="8"/>
    </row>
    <row r="16" spans="1:16" x14ac:dyDescent="0.25">
      <c r="B16" s="7" t="s">
        <v>102</v>
      </c>
      <c r="C16" s="72">
        <v>0.34467366750159789</v>
      </c>
      <c r="D16" s="73">
        <v>206.95699999999999</v>
      </c>
      <c r="E16" s="72">
        <v>0.48410488110270611</v>
      </c>
      <c r="F16" s="73">
        <v>965.55000000000018</v>
      </c>
      <c r="G16" s="72">
        <v>0.1430380328610748</v>
      </c>
      <c r="H16" s="73">
        <v>8023.9349999999986</v>
      </c>
    </row>
    <row r="19" spans="2:11" x14ac:dyDescent="0.25">
      <c r="B19" s="65" t="s">
        <v>103</v>
      </c>
      <c r="C19" s="6"/>
      <c r="D19" s="6"/>
      <c r="E19" s="6"/>
      <c r="F19" s="6"/>
      <c r="G19" s="6"/>
      <c r="H19" s="6"/>
      <c r="I19" s="6"/>
      <c r="J19" s="6"/>
      <c r="K19" s="6"/>
    </row>
    <row r="21" spans="2:11" x14ac:dyDescent="0.25">
      <c r="F21" s="75" t="s">
        <v>104</v>
      </c>
      <c r="G21" s="76"/>
      <c r="H21" s="76"/>
      <c r="I21" s="76"/>
    </row>
    <row r="22" spans="2:11" x14ac:dyDescent="0.25">
      <c r="B22" s="123" t="s">
        <v>105</v>
      </c>
      <c r="C22" s="116"/>
      <c r="D22" s="117"/>
      <c r="F22" s="77" t="s">
        <v>106</v>
      </c>
      <c r="G22" s="76"/>
      <c r="H22" s="76"/>
      <c r="I22" s="76"/>
    </row>
    <row r="23" spans="2:11" x14ac:dyDescent="0.25">
      <c r="B23" s="123" t="s">
        <v>84</v>
      </c>
      <c r="C23" s="116"/>
      <c r="D23" s="117"/>
      <c r="F23" s="78">
        <f>SUMPRODUCT(C25:C27,D25:D27)/SUM(D25:D27)</f>
        <v>6.8617832470217896E-2</v>
      </c>
      <c r="G23" s="76"/>
      <c r="H23" s="76"/>
      <c r="I23" s="76"/>
    </row>
    <row r="24" spans="2:11" ht="75" customHeight="1" x14ac:dyDescent="0.25">
      <c r="B24" s="79" t="s">
        <v>89</v>
      </c>
      <c r="C24" s="71" t="s">
        <v>90</v>
      </c>
      <c r="D24" s="67" t="s">
        <v>91</v>
      </c>
      <c r="F24" s="76"/>
      <c r="G24" s="76"/>
      <c r="H24" s="76"/>
      <c r="I24" s="76"/>
    </row>
    <row r="25" spans="2:11" x14ac:dyDescent="0.25">
      <c r="B25" s="7" t="s">
        <v>107</v>
      </c>
      <c r="C25" s="80">
        <v>3.8684930263038597E-2</v>
      </c>
      <c r="D25" s="81">
        <v>2020.2</v>
      </c>
      <c r="E25" s="82"/>
      <c r="F25" s="76"/>
      <c r="G25" s="76"/>
      <c r="H25" s="76"/>
      <c r="I25" s="76"/>
    </row>
    <row r="26" spans="2:11" x14ac:dyDescent="0.25">
      <c r="B26" s="7" t="s">
        <v>108</v>
      </c>
      <c r="C26" s="83">
        <v>9.1846313695874371E-2</v>
      </c>
      <c r="D26" s="84">
        <v>1404</v>
      </c>
      <c r="F26" s="76"/>
      <c r="G26" s="76"/>
      <c r="H26" s="76"/>
      <c r="I26" s="76"/>
    </row>
    <row r="27" spans="2:11" x14ac:dyDescent="0.25">
      <c r="B27" s="7" t="s">
        <v>109</v>
      </c>
      <c r="C27" s="80">
        <v>9.8614237550568778E-2</v>
      </c>
      <c r="D27" s="84">
        <v>928.7</v>
      </c>
      <c r="F27" s="121" t="s">
        <v>110</v>
      </c>
      <c r="G27" s="122"/>
      <c r="H27" s="122"/>
      <c r="I27" s="122"/>
      <c r="J27" s="122"/>
      <c r="K27" s="122"/>
    </row>
    <row r="28" spans="2:11" x14ac:dyDescent="0.25">
      <c r="B28" s="85"/>
      <c r="C28" s="85"/>
      <c r="F28" s="122"/>
      <c r="G28" s="122"/>
      <c r="H28" s="122"/>
      <c r="I28" s="122"/>
      <c r="J28" s="122"/>
      <c r="K28" s="122"/>
    </row>
    <row r="29" spans="2:11" x14ac:dyDescent="0.25">
      <c r="B29" s="85"/>
      <c r="C29" s="85"/>
      <c r="D29" s="85"/>
      <c r="E29" s="85"/>
      <c r="F29" s="122"/>
      <c r="G29" s="122"/>
      <c r="H29" s="122"/>
      <c r="I29" s="122"/>
      <c r="J29" s="122"/>
      <c r="K29" s="122"/>
    </row>
    <row r="32" spans="2:11" x14ac:dyDescent="0.25">
      <c r="B32" s="65" t="s">
        <v>111</v>
      </c>
      <c r="C32" s="6"/>
      <c r="D32" s="6"/>
      <c r="E32" s="6"/>
      <c r="F32" s="6"/>
    </row>
    <row r="33" spans="2:16" x14ac:dyDescent="0.25">
      <c r="B33" s="6"/>
      <c r="C33" s="6"/>
      <c r="D33" s="6"/>
      <c r="E33" s="6"/>
      <c r="F33" s="6"/>
    </row>
    <row r="34" spans="2:16" x14ac:dyDescent="0.25">
      <c r="B34" s="124" t="s">
        <v>112</v>
      </c>
      <c r="C34" s="125"/>
      <c r="D34" s="126"/>
      <c r="E34" s="86"/>
      <c r="F34" s="6"/>
    </row>
    <row r="35" spans="2:16" x14ac:dyDescent="0.25">
      <c r="B35" s="112" t="s">
        <v>84</v>
      </c>
      <c r="C35" s="113"/>
      <c r="D35" s="114"/>
      <c r="E35" s="87"/>
      <c r="F35" s="67" t="s">
        <v>113</v>
      </c>
    </row>
    <row r="36" spans="2:16" x14ac:dyDescent="0.25">
      <c r="B36" s="69" t="s">
        <v>89</v>
      </c>
      <c r="C36" s="67" t="s">
        <v>114</v>
      </c>
      <c r="D36" s="67" t="s">
        <v>115</v>
      </c>
      <c r="E36" s="88"/>
      <c r="F36" s="78">
        <f>SUMPRODUCT(C37:C39,D37:D39)/SUM(D37:D39)</f>
        <v>0.76320678028475641</v>
      </c>
    </row>
    <row r="37" spans="2:16" x14ac:dyDescent="0.25">
      <c r="B37" s="89">
        <v>2019</v>
      </c>
      <c r="C37" s="90">
        <v>0.73991125204815089</v>
      </c>
      <c r="D37" s="91">
        <v>1636</v>
      </c>
      <c r="E37" s="92"/>
      <c r="F37" s="76"/>
    </row>
    <row r="38" spans="2:16" x14ac:dyDescent="0.25">
      <c r="B38" s="89">
        <v>2018</v>
      </c>
      <c r="C38" s="90">
        <v>0.79600000000000004</v>
      </c>
      <c r="D38" s="91">
        <v>1254</v>
      </c>
      <c r="E38" s="92"/>
      <c r="F38" s="76"/>
    </row>
    <row r="39" spans="2:16" x14ac:dyDescent="0.25">
      <c r="B39" s="89">
        <v>2017</v>
      </c>
      <c r="C39" s="93">
        <v>0.75900000000000001</v>
      </c>
      <c r="D39" s="91">
        <v>715.8</v>
      </c>
      <c r="E39" s="92"/>
      <c r="F39" s="76"/>
    </row>
    <row r="42" spans="2:16" x14ac:dyDescent="0.25">
      <c r="B42" s="65" t="s">
        <v>116</v>
      </c>
    </row>
    <row r="43" spans="2:16" x14ac:dyDescent="0.25">
      <c r="J43" s="66" t="s">
        <v>117</v>
      </c>
    </row>
    <row r="44" spans="2:16" x14ac:dyDescent="0.25">
      <c r="B44" s="115" t="s">
        <v>118</v>
      </c>
      <c r="C44" s="116"/>
      <c r="D44" s="116"/>
      <c r="E44" s="116"/>
      <c r="F44" s="116"/>
      <c r="G44" s="116"/>
      <c r="H44" s="117"/>
      <c r="J44" s="67" t="s">
        <v>119</v>
      </c>
      <c r="K44" s="67" t="s">
        <v>120</v>
      </c>
      <c r="L44" s="67" t="s">
        <v>121</v>
      </c>
    </row>
    <row r="45" spans="2:16" x14ac:dyDescent="0.25">
      <c r="B45" s="115" t="s">
        <v>84</v>
      </c>
      <c r="C45" s="116"/>
      <c r="D45" s="116"/>
      <c r="E45" s="116"/>
      <c r="F45" s="116"/>
      <c r="G45" s="116"/>
      <c r="H45" s="117"/>
      <c r="I45" s="8"/>
      <c r="J45" s="68">
        <f>SUMPRODUCT(C48:C57,D48:D57)/SUM(D48:D57)</f>
        <v>0.2927759782244963</v>
      </c>
      <c r="K45" s="68">
        <f>SUMPRODUCT(E48:E57,F48:F57)/SUM(F48:F57)</f>
        <v>0.63294808409448577</v>
      </c>
      <c r="L45" s="68">
        <f>SUMPRODUCT(G48:G57,H48:H57)/SUM(H48:H57)</f>
        <v>0.15765869631908233</v>
      </c>
    </row>
    <row r="46" spans="2:16" x14ac:dyDescent="0.25">
      <c r="B46" s="69" t="s">
        <v>85</v>
      </c>
      <c r="C46" s="118" t="s">
        <v>86</v>
      </c>
      <c r="D46" s="119"/>
      <c r="E46" s="118" t="s">
        <v>87</v>
      </c>
      <c r="F46" s="119"/>
      <c r="G46" s="120" t="s">
        <v>88</v>
      </c>
      <c r="H46" s="117"/>
      <c r="I46" s="8"/>
      <c r="J46" s="9"/>
      <c r="K46" s="9"/>
      <c r="L46" s="9"/>
    </row>
    <row r="47" spans="2:16" ht="75" customHeight="1" x14ac:dyDescent="0.25">
      <c r="B47" s="70" t="s">
        <v>89</v>
      </c>
      <c r="C47" s="71" t="s">
        <v>90</v>
      </c>
      <c r="D47" s="67" t="s">
        <v>91</v>
      </c>
      <c r="E47" s="71" t="s">
        <v>90</v>
      </c>
      <c r="F47" s="67" t="s">
        <v>91</v>
      </c>
      <c r="G47" s="71" t="s">
        <v>90</v>
      </c>
      <c r="H47" s="67" t="s">
        <v>91</v>
      </c>
      <c r="I47" s="8"/>
      <c r="J47" s="121" t="s">
        <v>122</v>
      </c>
      <c r="K47" s="122"/>
      <c r="L47" s="122"/>
      <c r="M47" s="122"/>
      <c r="N47" s="122"/>
      <c r="O47" s="122"/>
      <c r="P47" s="122"/>
    </row>
    <row r="48" spans="2:16" x14ac:dyDescent="0.2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2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2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2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25">
      <c r="B52" s="7">
        <v>2015</v>
      </c>
      <c r="C52" s="72">
        <v>0.1826144184016546</v>
      </c>
      <c r="D52" s="73">
        <v>1476.9</v>
      </c>
      <c r="E52" s="72">
        <v>0.52026024770856427</v>
      </c>
      <c r="F52" s="73">
        <v>1873.4</v>
      </c>
      <c r="G52" s="72">
        <v>0.1005204949508479</v>
      </c>
      <c r="H52" s="73">
        <v>9563.0000000000018</v>
      </c>
      <c r="I52" s="8"/>
      <c r="J52" s="8"/>
    </row>
    <row r="53" spans="2:14" x14ac:dyDescent="0.25">
      <c r="B53" s="7">
        <v>2014</v>
      </c>
      <c r="C53" s="72">
        <v>0.2113713102325222</v>
      </c>
      <c r="D53" s="73">
        <v>207</v>
      </c>
      <c r="E53" s="72">
        <v>0.60036662915372696</v>
      </c>
      <c r="F53" s="73">
        <v>1671.4</v>
      </c>
      <c r="G53" s="72">
        <v>0.20107020211013479</v>
      </c>
      <c r="H53" s="73">
        <v>8955.2000000000007</v>
      </c>
      <c r="I53" s="8"/>
      <c r="J53" s="8"/>
    </row>
    <row r="54" spans="2:14" x14ac:dyDescent="0.25">
      <c r="B54" s="7">
        <v>2013</v>
      </c>
      <c r="C54" s="72">
        <v>0.1092652979066023</v>
      </c>
      <c r="D54" s="73">
        <v>207</v>
      </c>
      <c r="E54" s="72">
        <v>0.76613110708566334</v>
      </c>
      <c r="F54" s="73">
        <v>1269.7</v>
      </c>
      <c r="G54" s="72">
        <v>0.12634046885236139</v>
      </c>
      <c r="H54" s="73">
        <v>8955.2000000000007</v>
      </c>
      <c r="I54" s="8"/>
      <c r="J54" s="8"/>
    </row>
    <row r="55" spans="2:14" x14ac:dyDescent="0.25">
      <c r="B55" s="7">
        <v>2012</v>
      </c>
      <c r="C55" s="72">
        <v>0.1013425925925926</v>
      </c>
      <c r="D55" s="73">
        <v>207</v>
      </c>
      <c r="E55" s="72">
        <v>0.52841491622905734</v>
      </c>
      <c r="F55" s="73">
        <v>1066.4000000000001</v>
      </c>
      <c r="G55" s="72">
        <v>7.8319401444788467E-2</v>
      </c>
      <c r="H55" s="73">
        <v>8074.9999999999991</v>
      </c>
      <c r="I55" s="8"/>
      <c r="J55" s="8"/>
    </row>
    <row r="56" spans="2:14" x14ac:dyDescent="0.25">
      <c r="B56" s="7">
        <v>2011</v>
      </c>
      <c r="C56" s="72">
        <v>0.1244552830422396</v>
      </c>
      <c r="D56" s="73">
        <v>207</v>
      </c>
      <c r="E56" s="72">
        <v>0.65962836786935797</v>
      </c>
      <c r="F56" s="73">
        <v>965.59999999999991</v>
      </c>
      <c r="G56" s="72">
        <v>0.1277932825151569</v>
      </c>
      <c r="H56" s="73">
        <v>7746.4999999999991</v>
      </c>
    </row>
    <row r="57" spans="2:14" x14ac:dyDescent="0.25">
      <c r="B57" s="7">
        <v>2010</v>
      </c>
      <c r="C57" s="72">
        <v>7.0598184223707811E-2</v>
      </c>
      <c r="D57" s="73">
        <v>207</v>
      </c>
      <c r="E57" s="72">
        <v>0.24690247300601109</v>
      </c>
      <c r="F57" s="73">
        <v>160.80000000000001</v>
      </c>
      <c r="G57" s="72">
        <v>6.2330849606993519E-2</v>
      </c>
      <c r="H57" s="73">
        <v>6663.3000000000011</v>
      </c>
    </row>
  </sheetData>
  <mergeCells count="17">
    <mergeCell ref="J47:P47"/>
    <mergeCell ref="B44:H44"/>
    <mergeCell ref="B45:H45"/>
    <mergeCell ref="C46:D46"/>
    <mergeCell ref="E46:F46"/>
    <mergeCell ref="G46:H46"/>
    <mergeCell ref="J6:P6"/>
    <mergeCell ref="B22:D22"/>
    <mergeCell ref="B23:D23"/>
    <mergeCell ref="F27:K29"/>
    <mergeCell ref="B34:D34"/>
    <mergeCell ref="B35:D35"/>
    <mergeCell ref="B3:H3"/>
    <mergeCell ref="B4:H4"/>
    <mergeCell ref="C5:D5"/>
    <mergeCell ref="E5:F5"/>
    <mergeCell ref="G5:H5"/>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125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25">
      <c r="A10" s="122"/>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25">
      <c r="A11" s="122"/>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25">
      <c r="A12" s="122"/>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25">
      <c r="A13" s="122"/>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25">
      <c r="A14" s="122"/>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25">
      <c r="A15" s="122"/>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25">
      <c r="A16" s="122"/>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25">
      <c r="A17" s="122"/>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25">
      <c r="A18" s="122"/>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25">
      <c r="A19" s="122"/>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25">
      <c r="A20" s="122"/>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25">
      <c r="A21" s="122"/>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25">
      <c r="A22" s="122"/>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25">
      <c r="A23" s="122"/>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25">
      <c r="A24" s="122"/>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25">
      <c r="A25" s="122"/>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25">
      <c r="A26" s="122"/>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25">
      <c r="A27" s="122"/>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25">
      <c r="A28" s="122"/>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25">
      <c r="A29" s="122"/>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2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2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25">
      <c r="A10" s="122"/>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25">
      <c r="A11" s="122"/>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25">
      <c r="A12" s="122"/>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25">
      <c r="A13" s="122"/>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25">
      <c r="A14" s="122"/>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25">
      <c r="A15" s="122"/>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25">
      <c r="A16" s="122"/>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25">
      <c r="A17" s="122"/>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25">
      <c r="A18" s="122"/>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25">
      <c r="A19" s="122"/>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25">
      <c r="A20" s="122"/>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25">
      <c r="A21" s="122"/>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25">
      <c r="A22" s="122"/>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25">
      <c r="A23" s="122"/>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25">
      <c r="A24" s="122"/>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25">
      <c r="A25" s="122"/>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25">
      <c r="A26" s="122"/>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25">
      <c r="A27" s="122"/>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25">
      <c r="A28" s="122"/>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25">
      <c r="A29" s="122"/>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2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2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147</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22"/>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22"/>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22"/>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22"/>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22"/>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22"/>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22"/>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22"/>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22"/>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22"/>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22"/>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22"/>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22"/>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22"/>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25">
      <c r="A24" s="122"/>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25">
      <c r="A25" s="122"/>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25">
      <c r="A26" s="122"/>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25">
      <c r="A27" s="122"/>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25">
      <c r="A28" s="122"/>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25">
      <c r="A29" s="122"/>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2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2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25">
      <c r="C32" s="43"/>
      <c r="D32" s="43"/>
      <c r="E32" s="43"/>
      <c r="F32" s="43"/>
      <c r="G32" s="43"/>
      <c r="H32" s="43"/>
      <c r="I32" s="43"/>
      <c r="J32" s="43"/>
      <c r="K32" s="43"/>
      <c r="L32" s="43"/>
      <c r="M32" s="43"/>
      <c r="N32" s="43"/>
    </row>
    <row r="33" spans="3:14" x14ac:dyDescent="0.25">
      <c r="C33" s="43"/>
      <c r="D33" s="43"/>
      <c r="E33" s="43"/>
      <c r="F33" s="43"/>
      <c r="G33" s="43"/>
      <c r="H33" s="43"/>
      <c r="I33" s="43"/>
      <c r="J33" s="43"/>
      <c r="K33" s="43"/>
      <c r="L33" s="43"/>
      <c r="M33" s="43"/>
      <c r="N33" s="43"/>
    </row>
    <row r="34" spans="3:14" x14ac:dyDescent="0.25">
      <c r="C34" s="43"/>
      <c r="D34" s="43"/>
      <c r="E34" s="43"/>
      <c r="F34" s="43"/>
      <c r="G34" s="43"/>
      <c r="H34" s="43"/>
      <c r="I34" s="43"/>
      <c r="J34" s="43"/>
      <c r="K34" s="43"/>
      <c r="L34" s="43"/>
      <c r="M34" s="43"/>
      <c r="N34" s="43"/>
    </row>
    <row r="35" spans="3:14" x14ac:dyDescent="0.2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150</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25">
      <c r="A10" s="122"/>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25">
      <c r="A11" s="122"/>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25">
      <c r="A12" s="122"/>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25">
      <c r="A13" s="122"/>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25">
      <c r="A14" s="122"/>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25">
      <c r="A15" s="122"/>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25">
      <c r="A16" s="122"/>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25">
      <c r="A17" s="122"/>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25">
      <c r="A18" s="122"/>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25">
      <c r="A19" s="122"/>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25">
      <c r="A20" s="122"/>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25">
      <c r="A21" s="122"/>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25">
      <c r="A22" s="122"/>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25">
      <c r="A23" s="122"/>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25">
      <c r="A24" s="122"/>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25">
      <c r="A25" s="122"/>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25">
      <c r="A26" s="122"/>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25">
      <c r="A27" s="122"/>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25">
      <c r="A28" s="122"/>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25">
      <c r="A29" s="122"/>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2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2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152</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22"/>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22"/>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22"/>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22"/>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22"/>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22"/>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22"/>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22"/>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22"/>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22"/>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22"/>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22"/>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22"/>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22"/>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25">
      <c r="A24" s="122"/>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25">
      <c r="A25" s="122"/>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25">
      <c r="A26" s="122"/>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25">
      <c r="A27" s="122"/>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25">
      <c r="A28" s="122"/>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25">
      <c r="A29" s="122"/>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2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2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8515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153</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26" t="s">
        <v>127</v>
      </c>
      <c r="B6" s="27"/>
      <c r="C6" s="27"/>
      <c r="D6" s="27"/>
      <c r="E6" s="27"/>
      <c r="F6" s="27"/>
      <c r="G6" s="27"/>
      <c r="H6" s="27"/>
      <c r="I6" s="27"/>
      <c r="J6" s="27"/>
      <c r="K6" s="27"/>
      <c r="L6" s="27"/>
      <c r="M6" s="27"/>
      <c r="N6" s="27"/>
    </row>
    <row r="7" spans="1:14" x14ac:dyDescent="0.25">
      <c r="A7" s="14"/>
      <c r="B7" s="14"/>
      <c r="C7" s="14"/>
      <c r="D7" s="14"/>
      <c r="E7" s="14"/>
      <c r="F7" s="14"/>
      <c r="G7" s="14"/>
      <c r="H7" s="14"/>
      <c r="I7" s="14"/>
      <c r="J7" s="14"/>
      <c r="K7" s="14"/>
      <c r="L7" s="14"/>
      <c r="M7" s="14"/>
      <c r="N7" s="14"/>
    </row>
    <row r="8" spans="1:14" ht="18" customHeight="1" thickBot="1" x14ac:dyDescent="0.3">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25">
      <c r="A10" s="122"/>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25">
      <c r="A11" s="122"/>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25">
      <c r="A12" s="122"/>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25">
      <c r="A13" s="122"/>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25">
      <c r="A14" s="122"/>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25">
      <c r="A15" s="122"/>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25">
      <c r="A16" s="122"/>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25">
      <c r="A17" s="122"/>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25">
      <c r="A18" s="122"/>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25">
      <c r="A19" s="122"/>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25">
      <c r="A20" s="122"/>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25">
      <c r="A21" s="122"/>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25">
      <c r="A22" s="122"/>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25">
      <c r="A23" s="122"/>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25">
      <c r="A24" s="122"/>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25">
      <c r="A25" s="122"/>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25">
      <c r="A26" s="122"/>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25">
      <c r="A27" s="122"/>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25">
      <c r="A28" s="122"/>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25">
      <c r="A29" s="122"/>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2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2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5" x14ac:dyDescent="0.25"/>
  <sheetData>
    <row r="1" spans="1:40" ht="45.75" customHeight="1" x14ac:dyDescent="0.2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16"/>
      <c r="B2" s="16"/>
      <c r="C2" s="129" t="s">
        <v>141</v>
      </c>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19"/>
      <c r="AD2" s="129" t="s">
        <v>142</v>
      </c>
      <c r="AE2" s="130"/>
      <c r="AF2" s="130"/>
      <c r="AG2" s="130"/>
      <c r="AH2" s="130"/>
      <c r="AI2" s="130"/>
      <c r="AJ2" s="130"/>
      <c r="AK2" s="130"/>
      <c r="AL2" s="130"/>
      <c r="AM2" s="130"/>
      <c r="AN2" s="119"/>
    </row>
    <row r="3" spans="1:40" ht="15.75" customHeight="1" thickBot="1" x14ac:dyDescent="0.3">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25">
      <c r="A4" s="131"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25">
      <c r="A5" s="122"/>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25">
      <c r="A6" s="122"/>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25">
      <c r="A7" s="122"/>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25">
      <c r="A8" s="122"/>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25">
      <c r="A9" s="122"/>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25">
      <c r="A10" s="122"/>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25">
      <c r="A11" s="122"/>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25">
      <c r="A12" s="122"/>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25">
      <c r="A13" s="122"/>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25">
      <c r="A14" s="122"/>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25">
      <c r="A15" s="122"/>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25">
      <c r="A16" s="132"/>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2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2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3">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2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2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2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2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25">
      <c r="A24" s="133" t="s">
        <v>184</v>
      </c>
      <c r="B24" s="122"/>
      <c r="C24" s="122"/>
      <c r="D24" s="122"/>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26"/>
      <c r="AD24" s="26"/>
      <c r="AE24" s="26"/>
      <c r="AF24" s="26"/>
      <c r="AG24" s="26"/>
      <c r="AH24" s="26"/>
      <c r="AI24" s="26"/>
      <c r="AJ24" s="26"/>
      <c r="AK24" s="26"/>
      <c r="AL24" s="26"/>
      <c r="AM24" s="26"/>
      <c r="AN24" s="26"/>
    </row>
    <row r="25" spans="1:40" x14ac:dyDescent="0.25">
      <c r="A25" s="128" t="s">
        <v>185</v>
      </c>
      <c r="B25" s="122"/>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26"/>
      <c r="AD25" s="26"/>
      <c r="AE25" s="26"/>
      <c r="AF25" s="26"/>
      <c r="AG25" s="26"/>
      <c r="AH25" s="26"/>
      <c r="AI25" s="26"/>
      <c r="AJ25" s="26"/>
      <c r="AK25" s="26"/>
      <c r="AL25" s="26"/>
      <c r="AM25" s="26"/>
      <c r="AN25" s="26"/>
    </row>
    <row r="26" spans="1:40" x14ac:dyDescent="0.25">
      <c r="A26" s="128" t="s">
        <v>186</v>
      </c>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26"/>
      <c r="AD26" s="26"/>
      <c r="AE26" s="26"/>
      <c r="AF26" s="26"/>
      <c r="AG26" s="26"/>
      <c r="AH26" s="26"/>
      <c r="AI26" s="26"/>
      <c r="AJ26" s="26"/>
      <c r="AK26" s="26"/>
      <c r="AL26" s="26"/>
      <c r="AM26" s="26"/>
      <c r="AN26" s="26"/>
    </row>
    <row r="27" spans="1:40" x14ac:dyDescent="0.2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25">
      <c r="A28" s="100" t="s">
        <v>188</v>
      </c>
    </row>
  </sheetData>
  <mergeCells count="6">
    <mergeCell ref="A26:AB26"/>
    <mergeCell ref="C2:AC2"/>
    <mergeCell ref="AD2:AN2"/>
    <mergeCell ref="A4:A16"/>
    <mergeCell ref="A24:AB24"/>
    <mergeCell ref="A25:AB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5" x14ac:dyDescent="0.25"/>
  <cols>
    <col min="1" max="1" width="19.7109375" bestFit="1" customWidth="1"/>
    <col min="2" max="2" width="19.7109375" customWidth="1"/>
    <col min="4" max="4" width="10.140625" bestFit="1" customWidth="1"/>
  </cols>
  <sheetData>
    <row r="1" spans="1:5" x14ac:dyDescent="0.25">
      <c r="A1" s="2" t="s">
        <v>189</v>
      </c>
      <c r="B1" s="2"/>
      <c r="C1" s="2"/>
      <c r="D1" s="2"/>
    </row>
    <row r="2" spans="1:5" x14ac:dyDescent="0.25">
      <c r="A2" t="s">
        <v>190</v>
      </c>
      <c r="B2" t="s">
        <v>191</v>
      </c>
      <c r="C2" t="s">
        <v>192</v>
      </c>
      <c r="D2" t="s">
        <v>193</v>
      </c>
    </row>
    <row r="3" spans="1:5" x14ac:dyDescent="0.2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25">
      <c r="A4" t="s">
        <v>176</v>
      </c>
      <c r="B4" t="s">
        <v>146</v>
      </c>
      <c r="C4" t="str">
        <f t="shared" ca="1" si="0"/>
        <v>August</v>
      </c>
      <c r="D4" t="str">
        <f t="shared" ca="1" si="1"/>
        <v>January</v>
      </c>
    </row>
    <row r="5" spans="1:5" x14ac:dyDescent="0.25">
      <c r="A5" t="s">
        <v>148</v>
      </c>
      <c r="B5" t="s">
        <v>148</v>
      </c>
      <c r="C5" t="str">
        <f t="shared" ca="1" si="0"/>
        <v>August</v>
      </c>
      <c r="D5" t="str">
        <f t="shared" ca="1" si="1"/>
        <v>January</v>
      </c>
    </row>
    <row r="6" spans="1:5" x14ac:dyDescent="0.25">
      <c r="A6" t="s">
        <v>151</v>
      </c>
      <c r="B6" t="s">
        <v>151</v>
      </c>
      <c r="C6" t="str">
        <f t="shared" ca="1" si="0"/>
        <v>July</v>
      </c>
      <c r="D6" t="str">
        <f t="shared" ca="1" si="1"/>
        <v>January</v>
      </c>
    </row>
    <row r="7" spans="1:5" x14ac:dyDescent="0.25">
      <c r="A7" t="s">
        <v>36</v>
      </c>
      <c r="B7" t="s">
        <v>154</v>
      </c>
      <c r="C7" t="str">
        <f t="shared" ca="1" si="0"/>
        <v>July</v>
      </c>
      <c r="D7" t="str">
        <f t="shared" ca="1" si="1"/>
        <v>January</v>
      </c>
    </row>
    <row r="8" spans="1:5" x14ac:dyDescent="0.25">
      <c r="A8" t="s">
        <v>47</v>
      </c>
      <c r="B8" t="s">
        <v>154</v>
      </c>
      <c r="C8" t="str">
        <f t="shared" ca="1" si="0"/>
        <v>July</v>
      </c>
      <c r="D8" t="str">
        <f t="shared" ca="1" si="1"/>
        <v>January</v>
      </c>
    </row>
    <row r="12" spans="1:5" x14ac:dyDescent="0.25">
      <c r="A12" s="2" t="s">
        <v>194</v>
      </c>
      <c r="B12" s="2"/>
      <c r="C12" s="2"/>
      <c r="D12" s="2"/>
    </row>
    <row r="13" spans="1:5" x14ac:dyDescent="0.25">
      <c r="A13" t="s">
        <v>190</v>
      </c>
      <c r="B13" t="s">
        <v>195</v>
      </c>
      <c r="C13" t="s">
        <v>192</v>
      </c>
      <c r="D13" t="s">
        <v>193</v>
      </c>
      <c r="E13" t="s">
        <v>196</v>
      </c>
    </row>
    <row r="14" spans="1:5" x14ac:dyDescent="0.25">
      <c r="A14" t="s">
        <v>21</v>
      </c>
      <c r="B14" t="s">
        <v>197</v>
      </c>
      <c r="C14" s="11">
        <f>'CAISO - CF'!C16</f>
        <v>0.39</v>
      </c>
      <c r="D14" s="11">
        <f>'CAISO - CF'!C21</f>
        <v>0</v>
      </c>
      <c r="E14" s="102">
        <f t="shared" ref="E14:E53" si="2">INDEX($B$56:$B$62,MATCH(A14,$A$56:$A$62,0),1)</f>
        <v>214955</v>
      </c>
    </row>
    <row r="15" spans="1:5" x14ac:dyDescent="0.25">
      <c r="A15" t="s">
        <v>176</v>
      </c>
      <c r="B15" t="s">
        <v>197</v>
      </c>
      <c r="C15" s="11">
        <f>'ERCOT - CF'!F36</f>
        <v>0.76320678028475641</v>
      </c>
      <c r="D15" s="11">
        <f>'ERCOT - CF'!F23</f>
        <v>6.8617832470217896E-2</v>
      </c>
      <c r="E15" s="102">
        <f t="shared" si="2"/>
        <v>373761.95541314723</v>
      </c>
    </row>
    <row r="16" spans="1:5" x14ac:dyDescent="0.25">
      <c r="A16" t="s">
        <v>148</v>
      </c>
      <c r="B16" t="s">
        <v>197</v>
      </c>
      <c r="C16" s="11">
        <v>0.5</v>
      </c>
      <c r="D16" s="11"/>
      <c r="E16" s="102">
        <f t="shared" si="2"/>
        <v>730209.6</v>
      </c>
    </row>
    <row r="17" spans="1:5" x14ac:dyDescent="0.25">
      <c r="A17" t="s">
        <v>151</v>
      </c>
      <c r="B17" t="s">
        <v>197</v>
      </c>
      <c r="C17" s="11">
        <v>0.60699999999999998</v>
      </c>
      <c r="D17" s="11"/>
      <c r="E17" s="102">
        <f t="shared" si="2"/>
        <v>259340.6</v>
      </c>
    </row>
    <row r="18" spans="1:5" x14ac:dyDescent="0.25">
      <c r="A18" t="s">
        <v>36</v>
      </c>
      <c r="B18" t="s">
        <v>197</v>
      </c>
      <c r="C18" s="11"/>
      <c r="D18" s="11"/>
      <c r="E18" s="102">
        <f t="shared" si="2"/>
        <v>155848</v>
      </c>
    </row>
    <row r="19" spans="1:5" x14ac:dyDescent="0.25">
      <c r="A19" t="s">
        <v>47</v>
      </c>
      <c r="B19" t="s">
        <v>197</v>
      </c>
      <c r="C19" s="11"/>
      <c r="D19" s="11"/>
      <c r="E19" s="102">
        <f t="shared" si="2"/>
        <v>141514</v>
      </c>
    </row>
    <row r="20" spans="1:5" x14ac:dyDescent="0.25">
      <c r="A20" t="s">
        <v>20</v>
      </c>
      <c r="B20" t="s">
        <v>197</v>
      </c>
      <c r="C20" s="11">
        <v>0.6</v>
      </c>
      <c r="D20" s="11"/>
      <c r="E20" s="102">
        <f t="shared" si="2"/>
        <v>823890</v>
      </c>
    </row>
    <row r="21" spans="1:5" x14ac:dyDescent="0.25">
      <c r="A21" t="s">
        <v>21</v>
      </c>
      <c r="B21" t="s">
        <v>198</v>
      </c>
      <c r="C21" s="11">
        <f>'CAISO - CF'!C32</f>
        <v>0.23</v>
      </c>
      <c r="D21" s="11">
        <f>'CAISO - CF'!C37</f>
        <v>0.13</v>
      </c>
      <c r="E21" s="102">
        <f t="shared" si="2"/>
        <v>214955</v>
      </c>
    </row>
    <row r="22" spans="1:5" x14ac:dyDescent="0.2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25">
      <c r="A23" t="s">
        <v>148</v>
      </c>
      <c r="B23" t="s">
        <v>198</v>
      </c>
      <c r="C23" s="11">
        <v>0.16600000000000001</v>
      </c>
      <c r="D23" s="11"/>
      <c r="E23" s="102">
        <f t="shared" si="2"/>
        <v>730209.6</v>
      </c>
    </row>
    <row r="24" spans="1:5" x14ac:dyDescent="0.25">
      <c r="A24" t="s">
        <v>151</v>
      </c>
      <c r="B24" t="s">
        <v>198</v>
      </c>
      <c r="C24" s="11">
        <v>0.28000000000000003</v>
      </c>
      <c r="D24" s="11"/>
      <c r="E24" s="102">
        <f t="shared" si="2"/>
        <v>259340.6</v>
      </c>
    </row>
    <row r="25" spans="1:5" x14ac:dyDescent="0.25">
      <c r="A25" t="s">
        <v>36</v>
      </c>
      <c r="B25" t="s">
        <v>198</v>
      </c>
      <c r="C25" s="11">
        <v>0.19</v>
      </c>
      <c r="D25" s="11">
        <v>0.37</v>
      </c>
      <c r="E25" s="102">
        <f t="shared" si="2"/>
        <v>155848</v>
      </c>
    </row>
    <row r="26" spans="1:5" x14ac:dyDescent="0.25">
      <c r="A26" t="s">
        <v>47</v>
      </c>
      <c r="B26" t="s">
        <v>198</v>
      </c>
      <c r="C26" s="11">
        <v>0.15</v>
      </c>
      <c r="D26" s="11">
        <v>0.3</v>
      </c>
      <c r="E26" s="102">
        <f t="shared" si="2"/>
        <v>141514</v>
      </c>
    </row>
    <row r="27" spans="1:5" x14ac:dyDescent="0.25">
      <c r="A27" t="s">
        <v>20</v>
      </c>
      <c r="B27" t="s">
        <v>198</v>
      </c>
      <c r="C27" s="11">
        <v>0.17599999999999999</v>
      </c>
      <c r="D27" s="11"/>
      <c r="E27" s="102">
        <f t="shared" si="2"/>
        <v>823890</v>
      </c>
    </row>
    <row r="28" spans="1:5" x14ac:dyDescent="0.25">
      <c r="A28" t="s">
        <v>21</v>
      </c>
      <c r="B28" t="s">
        <v>199</v>
      </c>
      <c r="C28" s="11">
        <f>'CAISO - CF'!C16</f>
        <v>0.39</v>
      </c>
      <c r="D28" s="11">
        <f>'CAISO - CF'!C21</f>
        <v>0</v>
      </c>
      <c r="E28" s="102">
        <f t="shared" si="2"/>
        <v>214955</v>
      </c>
    </row>
    <row r="29" spans="1:5" x14ac:dyDescent="0.25">
      <c r="A29" t="s">
        <v>176</v>
      </c>
      <c r="B29" t="s">
        <v>199</v>
      </c>
      <c r="C29" s="11"/>
      <c r="D29" s="11"/>
      <c r="E29" s="102">
        <f t="shared" si="2"/>
        <v>373761.95541314723</v>
      </c>
    </row>
    <row r="30" spans="1:5" x14ac:dyDescent="0.25">
      <c r="A30" t="s">
        <v>148</v>
      </c>
      <c r="B30" t="s">
        <v>199</v>
      </c>
      <c r="C30" s="11"/>
      <c r="D30" s="11"/>
      <c r="E30" s="102">
        <f t="shared" si="2"/>
        <v>730209.6</v>
      </c>
    </row>
    <row r="31" spans="1:5" x14ac:dyDescent="0.25">
      <c r="A31" t="s">
        <v>151</v>
      </c>
      <c r="B31" t="s">
        <v>199</v>
      </c>
      <c r="C31" s="11"/>
      <c r="D31" s="11"/>
      <c r="E31" s="102">
        <f t="shared" si="2"/>
        <v>259340.6</v>
      </c>
    </row>
    <row r="32" spans="1:5" x14ac:dyDescent="0.25">
      <c r="A32" t="s">
        <v>36</v>
      </c>
      <c r="B32" t="s">
        <v>199</v>
      </c>
      <c r="C32" s="11"/>
      <c r="D32" s="11"/>
      <c r="E32" s="102">
        <f t="shared" si="2"/>
        <v>155848</v>
      </c>
    </row>
    <row r="33" spans="1:5" x14ac:dyDescent="0.25">
      <c r="A33" t="s">
        <v>47</v>
      </c>
      <c r="B33" t="s">
        <v>199</v>
      </c>
      <c r="C33" s="11"/>
      <c r="D33" s="11"/>
      <c r="E33" s="102">
        <f t="shared" si="2"/>
        <v>141514</v>
      </c>
    </row>
    <row r="34" spans="1:5" x14ac:dyDescent="0.25">
      <c r="A34" t="s">
        <v>21</v>
      </c>
      <c r="B34" t="s">
        <v>200</v>
      </c>
      <c r="C34" s="10">
        <f>'CAISO - CF'!F55</f>
        <v>0.87</v>
      </c>
      <c r="D34" s="10">
        <f>'CAISO - CF'!F60</f>
        <v>0.86</v>
      </c>
      <c r="E34" s="102">
        <f t="shared" si="2"/>
        <v>214955</v>
      </c>
    </row>
    <row r="35" spans="1:5" x14ac:dyDescent="0.25">
      <c r="A35" t="s">
        <v>176</v>
      </c>
      <c r="B35" t="s">
        <v>200</v>
      </c>
      <c r="E35" s="102">
        <f t="shared" si="2"/>
        <v>373761.95541314723</v>
      </c>
    </row>
    <row r="36" spans="1:5" x14ac:dyDescent="0.25">
      <c r="A36" t="s">
        <v>148</v>
      </c>
      <c r="B36" t="s">
        <v>200</v>
      </c>
      <c r="E36" s="102">
        <f t="shared" si="2"/>
        <v>730209.6</v>
      </c>
    </row>
    <row r="37" spans="1:5" x14ac:dyDescent="0.25">
      <c r="A37" t="s">
        <v>151</v>
      </c>
      <c r="B37" t="s">
        <v>200</v>
      </c>
      <c r="E37" s="102">
        <f t="shared" si="2"/>
        <v>259340.6</v>
      </c>
    </row>
    <row r="38" spans="1:5" x14ac:dyDescent="0.25">
      <c r="A38" t="s">
        <v>36</v>
      </c>
      <c r="B38" t="s">
        <v>200</v>
      </c>
      <c r="E38" s="102">
        <f t="shared" si="2"/>
        <v>155848</v>
      </c>
    </row>
    <row r="39" spans="1:5" x14ac:dyDescent="0.25">
      <c r="A39" t="s">
        <v>47</v>
      </c>
      <c r="B39" t="s">
        <v>200</v>
      </c>
      <c r="E39" s="102">
        <f t="shared" si="2"/>
        <v>141514</v>
      </c>
    </row>
    <row r="40" spans="1:5" x14ac:dyDescent="0.25">
      <c r="A40" t="s">
        <v>21</v>
      </c>
      <c r="B40" t="s">
        <v>201</v>
      </c>
      <c r="C40" s="10">
        <f>'CAISO - CF'!F85</f>
        <v>0.84</v>
      </c>
      <c r="D40" s="10">
        <f>'CAISO - CF'!F90</f>
        <v>0.95</v>
      </c>
      <c r="E40" s="102">
        <f t="shared" si="2"/>
        <v>214955</v>
      </c>
    </row>
    <row r="41" spans="1:5" x14ac:dyDescent="0.25">
      <c r="A41" t="s">
        <v>176</v>
      </c>
      <c r="B41" t="s">
        <v>201</v>
      </c>
      <c r="E41" s="102">
        <f t="shared" si="2"/>
        <v>373761.95541314723</v>
      </c>
    </row>
    <row r="42" spans="1:5" x14ac:dyDescent="0.25">
      <c r="A42" t="s">
        <v>148</v>
      </c>
      <c r="B42" t="s">
        <v>201</v>
      </c>
      <c r="E42" s="102">
        <f t="shared" si="2"/>
        <v>730209.6</v>
      </c>
    </row>
    <row r="43" spans="1:5" x14ac:dyDescent="0.25">
      <c r="A43" t="s">
        <v>151</v>
      </c>
      <c r="B43" t="s">
        <v>201</v>
      </c>
      <c r="E43" s="102">
        <f t="shared" si="2"/>
        <v>259340.6</v>
      </c>
    </row>
    <row r="44" spans="1:5" x14ac:dyDescent="0.25">
      <c r="A44" t="s">
        <v>36</v>
      </c>
      <c r="B44" t="s">
        <v>201</v>
      </c>
      <c r="E44" s="102">
        <f t="shared" si="2"/>
        <v>155848</v>
      </c>
    </row>
    <row r="45" spans="1:5" x14ac:dyDescent="0.25">
      <c r="A45" t="s">
        <v>47</v>
      </c>
      <c r="B45" t="s">
        <v>201</v>
      </c>
      <c r="E45" s="102">
        <f t="shared" si="2"/>
        <v>141514</v>
      </c>
    </row>
    <row r="46" spans="1:5" x14ac:dyDescent="0.25">
      <c r="A46" t="s">
        <v>21</v>
      </c>
      <c r="B46" t="s">
        <v>202</v>
      </c>
      <c r="C46" s="10">
        <f>'CAISO - CF'!F101</f>
        <v>0.73</v>
      </c>
      <c r="D46" s="10">
        <f>'CAISO - CF'!F106</f>
        <v>0.64</v>
      </c>
      <c r="E46" s="102">
        <f t="shared" si="2"/>
        <v>214955</v>
      </c>
    </row>
    <row r="47" spans="1:5" x14ac:dyDescent="0.25">
      <c r="A47" t="s">
        <v>176</v>
      </c>
      <c r="B47" t="s">
        <v>202</v>
      </c>
      <c r="E47" s="102">
        <f t="shared" si="2"/>
        <v>373761.95541314723</v>
      </c>
    </row>
    <row r="48" spans="1:5" x14ac:dyDescent="0.25">
      <c r="A48" t="s">
        <v>148</v>
      </c>
      <c r="B48" t="s">
        <v>202</v>
      </c>
      <c r="E48" s="102">
        <f t="shared" si="2"/>
        <v>730209.6</v>
      </c>
    </row>
    <row r="49" spans="1:5" x14ac:dyDescent="0.25">
      <c r="A49" t="s">
        <v>151</v>
      </c>
      <c r="B49" t="s">
        <v>202</v>
      </c>
      <c r="E49" s="102">
        <f t="shared" si="2"/>
        <v>259340.6</v>
      </c>
    </row>
    <row r="50" spans="1:5" x14ac:dyDescent="0.25">
      <c r="A50" t="s">
        <v>36</v>
      </c>
      <c r="B50" t="s">
        <v>202</v>
      </c>
      <c r="E50" s="102">
        <f t="shared" si="2"/>
        <v>155848</v>
      </c>
    </row>
    <row r="51" spans="1:5" x14ac:dyDescent="0.25">
      <c r="A51" t="s">
        <v>47</v>
      </c>
      <c r="B51" t="s">
        <v>202</v>
      </c>
      <c r="E51" s="102">
        <f t="shared" si="2"/>
        <v>141514</v>
      </c>
    </row>
    <row r="52" spans="1:5" x14ac:dyDescent="0.25">
      <c r="A52" t="s">
        <v>36</v>
      </c>
      <c r="B52" t="s">
        <v>203</v>
      </c>
      <c r="C52" s="11">
        <v>0.39</v>
      </c>
      <c r="D52" s="10">
        <v>0.61</v>
      </c>
      <c r="E52" s="102">
        <f t="shared" si="2"/>
        <v>155848</v>
      </c>
    </row>
    <row r="53" spans="1:5" x14ac:dyDescent="0.25">
      <c r="A53" t="s">
        <v>47</v>
      </c>
      <c r="B53" t="s">
        <v>203</v>
      </c>
      <c r="C53" s="11">
        <v>0.24</v>
      </c>
      <c r="D53" s="10">
        <v>0.63</v>
      </c>
      <c r="E53" s="102">
        <f t="shared" si="2"/>
        <v>141514</v>
      </c>
    </row>
    <row r="55" spans="1:5" x14ac:dyDescent="0.25">
      <c r="A55" s="2" t="s">
        <v>204</v>
      </c>
      <c r="B55" s="2"/>
      <c r="C55" s="2"/>
      <c r="D55" s="2"/>
    </row>
    <row r="56" spans="1:5" x14ac:dyDescent="0.25">
      <c r="A56" t="s">
        <v>21</v>
      </c>
      <c r="B56">
        <v>214955</v>
      </c>
      <c r="C56" s="12"/>
    </row>
    <row r="57" spans="1:5" x14ac:dyDescent="0.25">
      <c r="A57" t="s">
        <v>176</v>
      </c>
      <c r="B57" s="102">
        <f>'EIA Form 411'!AF17</f>
        <v>373761.95541314723</v>
      </c>
      <c r="C57" s="12"/>
    </row>
    <row r="58" spans="1:5" x14ac:dyDescent="0.25">
      <c r="A58" t="s">
        <v>148</v>
      </c>
      <c r="B58" s="102">
        <f>'EIA Form 411'!AF11</f>
        <v>730209.6</v>
      </c>
    </row>
    <row r="59" spans="1:5" x14ac:dyDescent="0.25">
      <c r="A59" t="s">
        <v>151</v>
      </c>
      <c r="B59">
        <f>'EIA Form 411'!AF16</f>
        <v>259340.6</v>
      </c>
    </row>
    <row r="60" spans="1:5" x14ac:dyDescent="0.25">
      <c r="A60" t="s">
        <v>36</v>
      </c>
      <c r="B60">
        <v>155848</v>
      </c>
      <c r="C60" s="12"/>
    </row>
    <row r="61" spans="1:5" x14ac:dyDescent="0.25">
      <c r="A61" t="s">
        <v>20</v>
      </c>
      <c r="B61">
        <f>'EIA Form 411'!AF13</f>
        <v>823890</v>
      </c>
      <c r="C61" s="12"/>
    </row>
    <row r="62" spans="1:5" x14ac:dyDescent="0.2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5" x14ac:dyDescent="0.25"/>
  <cols>
    <col min="1" max="1" width="26.42578125" customWidth="1"/>
    <col min="2" max="3" width="11" customWidth="1"/>
  </cols>
  <sheetData>
    <row r="1" spans="1:3" ht="30" customHeight="1" x14ac:dyDescent="0.25">
      <c r="A1" s="104" t="s">
        <v>205</v>
      </c>
      <c r="B1" s="13" t="s">
        <v>206</v>
      </c>
      <c r="C1" s="105" t="s">
        <v>207</v>
      </c>
    </row>
    <row r="2" spans="1:3" x14ac:dyDescent="0.2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2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2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2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2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2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2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2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2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2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2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2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2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2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2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2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2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25">
      <c r="A19" t="s">
        <v>219</v>
      </c>
      <c r="B19" s="106">
        <f t="shared" ref="B19:C24" si="0">$B$18</f>
        <v>0.9</v>
      </c>
      <c r="C19" s="106">
        <f t="shared" si="0"/>
        <v>0.9</v>
      </c>
    </row>
    <row r="20" spans="1:3" x14ac:dyDescent="0.25">
      <c r="A20" t="s">
        <v>220</v>
      </c>
      <c r="B20" s="106">
        <f t="shared" si="0"/>
        <v>0.9</v>
      </c>
      <c r="C20" s="106">
        <f t="shared" si="0"/>
        <v>0.9</v>
      </c>
    </row>
    <row r="21" spans="1:3" x14ac:dyDescent="0.25">
      <c r="A21" t="s">
        <v>221</v>
      </c>
      <c r="B21" s="106">
        <f t="shared" si="0"/>
        <v>0.9</v>
      </c>
      <c r="C21" s="106">
        <f t="shared" si="0"/>
        <v>0.9</v>
      </c>
    </row>
    <row r="22" spans="1:3" x14ac:dyDescent="0.25">
      <c r="A22" t="s">
        <v>222</v>
      </c>
      <c r="B22" s="106">
        <f t="shared" si="0"/>
        <v>0.9</v>
      </c>
      <c r="C22" s="106">
        <f t="shared" si="0"/>
        <v>0.9</v>
      </c>
    </row>
    <row r="23" spans="1:3" x14ac:dyDescent="0.25">
      <c r="A23" t="s">
        <v>223</v>
      </c>
      <c r="B23" s="106">
        <f t="shared" si="0"/>
        <v>0.9</v>
      </c>
      <c r="C23" s="106">
        <f t="shared" si="0"/>
        <v>0.9</v>
      </c>
    </row>
    <row r="24" spans="1:3" x14ac:dyDescent="0.25">
      <c r="A24" s="107" t="s">
        <v>224</v>
      </c>
      <c r="B24" s="106">
        <f t="shared" si="0"/>
        <v>0.9</v>
      </c>
      <c r="C24" s="106">
        <f t="shared" si="0"/>
        <v>0.9</v>
      </c>
    </row>
    <row r="25" spans="1:3" x14ac:dyDescent="0.2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2023-09-28T19:07:27Z</dcterms:modified>
</cp:coreProperties>
</file>