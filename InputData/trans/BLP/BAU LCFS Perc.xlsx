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onaike/Library/Containers/com.microsoft.Excel/Data/state-eps-data-repository/LA/trans/BLP/"/>
    </mc:Choice>
  </mc:AlternateContent>
  <xr:revisionPtr revIDLastSave="0" documentId="8_{25172794-664E-284F-9084-32E8379C4B8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bout" sheetId="1" r:id="rId1"/>
    <sheet name="StatePolicies" sheetId="4" r:id="rId2"/>
    <sheet name="BL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9" i="4" l="1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AD39" i="4"/>
  <c r="U39" i="4"/>
  <c r="V39" i="4"/>
  <c r="W39" i="4"/>
  <c r="X39" i="4"/>
  <c r="Y39" i="4"/>
  <c r="Z39" i="4"/>
  <c r="AA39" i="4"/>
  <c r="AB39" i="4"/>
  <c r="T39" i="4"/>
  <c r="C50" i="4"/>
  <c r="AC39" i="4"/>
  <c r="S39" i="4"/>
  <c r="C31" i="4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Y49" i="4"/>
  <c r="U49" i="4" s="1"/>
  <c r="AK49" i="4"/>
  <c r="AL49" i="4" s="1"/>
  <c r="AM49" i="4" s="1"/>
  <c r="AN49" i="4" s="1"/>
  <c r="AO49" i="4" s="1"/>
  <c r="AP49" i="4" s="1"/>
  <c r="AQ49" i="4" s="1"/>
  <c r="AR49" i="4" s="1"/>
  <c r="AS49" i="4" s="1"/>
  <c r="AT49" i="4" s="1"/>
  <c r="AU49" i="4" s="1"/>
  <c r="AV49" i="4" s="1"/>
  <c r="AW49" i="4" s="1"/>
  <c r="AX49" i="4" s="1"/>
  <c r="AY49" i="4" s="1"/>
  <c r="AZ49" i="4" s="1"/>
  <c r="BA49" i="4" s="1"/>
  <c r="V7" i="4"/>
  <c r="B2" i="1"/>
  <c r="X49" i="4" l="1"/>
  <c r="W49" i="4"/>
  <c r="V49" i="4"/>
  <c r="B2" i="3" a="1"/>
  <c r="B2" i="3" s="1"/>
  <c r="C2" i="3" a="1"/>
  <c r="C2" i="3" s="1"/>
  <c r="W7" i="4"/>
  <c r="D2" i="3" l="1" a="1"/>
  <c r="D2" i="3" s="1"/>
  <c r="X7" i="4"/>
  <c r="Y7" i="4" l="1"/>
  <c r="E2" i="3" a="1"/>
  <c r="E2" i="3" s="1"/>
  <c r="Z7" i="4" l="1"/>
  <c r="F2" i="3" a="1"/>
  <c r="F2" i="3" s="1"/>
  <c r="AA7" i="4" l="1"/>
  <c r="G2" i="3" a="1"/>
  <c r="G2" i="3" s="1"/>
  <c r="H2" i="3" l="1" a="1"/>
  <c r="H2" i="3" s="1"/>
  <c r="AB7" i="4"/>
  <c r="I2" i="3" l="1" a="1"/>
  <c r="I2" i="3" s="1"/>
  <c r="AC7" i="4"/>
  <c r="J2" i="3" l="1" a="1"/>
  <c r="J2" i="3" s="1"/>
  <c r="AD7" i="4"/>
  <c r="AE7" i="4" l="1"/>
  <c r="K2" i="3" a="1"/>
  <c r="K2" i="3" s="1"/>
  <c r="AF7" i="4" l="1"/>
  <c r="L2" i="3" a="1"/>
  <c r="L2" i="3" s="1"/>
  <c r="AG7" i="4" l="1"/>
  <c r="M2" i="3" a="1"/>
  <c r="M2" i="3" s="1"/>
  <c r="N2" i="3" l="1" a="1"/>
  <c r="N2" i="3" s="1"/>
  <c r="AH7" i="4"/>
  <c r="AI7" i="4" l="1"/>
  <c r="O2" i="3" a="1"/>
  <c r="O2" i="3" s="1"/>
  <c r="AJ7" i="4" l="1"/>
  <c r="P2" i="3" a="1"/>
  <c r="P2" i="3" s="1"/>
  <c r="AK7" i="4" l="1"/>
  <c r="Q2" i="3" a="1"/>
  <c r="Q2" i="3" s="1"/>
  <c r="AL7" i="4" l="1"/>
  <c r="R2" i="3" a="1"/>
  <c r="R2" i="3" s="1"/>
  <c r="AM7" i="4" l="1"/>
  <c r="S2" i="3" a="1"/>
  <c r="S2" i="3" s="1"/>
  <c r="AN7" i="4" l="1"/>
  <c r="T2" i="3" a="1"/>
  <c r="T2" i="3" s="1"/>
  <c r="AO7" i="4" l="1"/>
  <c r="U2" i="3" a="1"/>
  <c r="U2" i="3" s="1"/>
  <c r="AP7" i="4" l="1"/>
  <c r="V2" i="3" a="1"/>
  <c r="V2" i="3" s="1"/>
  <c r="AQ7" i="4" l="1"/>
  <c r="W2" i="3" a="1"/>
  <c r="W2" i="3" s="1"/>
  <c r="AR7" i="4" l="1"/>
  <c r="X2" i="3" a="1"/>
  <c r="X2" i="3" s="1"/>
  <c r="AS7" i="4" l="1"/>
  <c r="Y2" i="3" a="1"/>
  <c r="Y2" i="3" s="1"/>
  <c r="AT7" i="4" l="1"/>
  <c r="Z2" i="3" a="1"/>
  <c r="Z2" i="3" s="1"/>
  <c r="AU7" i="4" l="1"/>
  <c r="AA2" i="3" a="1"/>
  <c r="AA2" i="3" s="1"/>
  <c r="AV7" i="4" l="1"/>
  <c r="AB2" i="3" a="1"/>
  <c r="AB2" i="3" s="1"/>
  <c r="AW7" i="4" l="1"/>
  <c r="AC2" i="3" a="1"/>
  <c r="AC2" i="3" s="1"/>
  <c r="AX7" i="4" l="1"/>
  <c r="AD2" i="3" a="1"/>
  <c r="AD2" i="3" s="1"/>
  <c r="AY7" i="4" l="1"/>
  <c r="AE2" i="3" a="1"/>
  <c r="AE2" i="3" s="1"/>
  <c r="AZ7" i="4" l="1"/>
  <c r="AF2" i="3" a="1"/>
  <c r="AF2" i="3" s="1"/>
  <c r="BA7" i="4" l="1"/>
  <c r="AH2" i="3" s="1" a="1"/>
  <c r="AH2" i="3" s="1"/>
  <c r="AG2" i="3" a="1"/>
  <c r="AG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<sst xmlns="http://schemas.openxmlformats.org/spreadsheetml/2006/main" count="284" uniqueCount="131">
  <si>
    <t>BLP BAU LCFS Percentage</t>
  </si>
  <si>
    <t>Source:</t>
  </si>
  <si>
    <t>BAU LCFS Perc</t>
  </si>
  <si>
    <t>California Air Resource Board</t>
  </si>
  <si>
    <t>https://www.arb.ca.gov/regact/2018/lcfs18/isor.pdf</t>
  </si>
  <si>
    <t>"The amendments also propose smoothing the near-term benchmark schedule by linearly reducing by 1.25 percent annually from a 5 percent reduction in 2018 to the 20 percent value in 2030."</t>
  </si>
  <si>
    <t>Notes</t>
  </si>
  <si>
    <t>STAFF REPORT: INITIAL STATEMENT OF REASONS</t>
  </si>
  <si>
    <t>Adopted amendments to regulatory schedule.</t>
  </si>
  <si>
    <t>2018 historical level</t>
  </si>
  <si>
    <t xml:space="preserve">2030 is the current limit of the regulatory schedule. Later values are held constant at the 2030 level. </t>
  </si>
  <si>
    <t>Annual increment on path to 2030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</si>
  <si>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</si>
  <si>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</si>
  <si>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</si>
  <si>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</si>
  <si>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</si>
  <si>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</si>
  <si>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</si>
  <si>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</si>
  <si>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</si>
  <si>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</si>
  <si>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</si>
  <si>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</si>
  <si>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</si>
  <si>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</si>
  <si>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</si>
  <si>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</si>
  <si>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</si>
  <si>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</si>
  <si>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</si>
  <si>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</si>
  <si>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</si>
  <si>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</si>
  <si>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</si>
  <si>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</si>
  <si>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</si>
  <si>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</si>
  <si>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</si>
  <si>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</si>
  <si>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</si>
  <si>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</si>
  <si>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</si>
  <si>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</si>
  <si>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</si>
  <si>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</si>
  <si>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</si>
  <si>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</si>
  <si>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</si>
  <si>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</si>
  <si>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</si>
  <si>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</si>
  <si>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</si>
  <si>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</si>
  <si>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</si>
  <si>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</si>
  <si>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</si>
  <si>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</si>
  <si>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</si>
  <si>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</si>
  <si>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</si>
  <si>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</si>
  <si>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</si>
  <si>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</si>
  <si>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</si>
  <si>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</si>
  <si>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</si>
  <si>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</si>
  <si>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</si>
  <si>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</si>
  <si>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</si>
  <si>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</si>
  <si>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</si>
  <si>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</si>
  <si>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</si>
  <si>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</si>
  <si>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</si>
  <si>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</si>
  <si>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</si>
  <si>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</si>
  <si>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</si>
  <si>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</si>
  <si>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</si>
  <si>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</si>
  <si>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</si>
  <si>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</si>
  <si>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</si>
  <si>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</si>
  <si>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</si>
  <si>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</si>
  <si>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</si>
  <si>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</si>
  <si>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</si>
  <si>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</si>
  <si>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</si>
  <si>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</si>
  <si>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</si>
  <si>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</si>
  <si>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</si>
  <si>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</si>
  <si>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</si>
  <si>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</si>
  <si>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</si>
  <si>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</si>
  <si>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</si>
  <si>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</si>
  <si>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</si>
  <si>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</si>
  <si>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</si>
  <si>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</si>
  <si>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</si>
  <si>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</si>
  <si>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</si>
  <si>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</si>
  <si>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</si>
  <si>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</si>
  <si>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</si>
  <si>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</si>
  <si>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</si>
  <si>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</si>
  <si>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</si>
  <si>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</si>
  <si>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2034 target</t>
  </si>
  <si>
    <t>start year 2022</t>
  </si>
  <si>
    <t>Annual increase</t>
  </si>
  <si>
    <t>Oregon Clean Fuels Program</t>
  </si>
  <si>
    <t>Clean Fuels Program</t>
  </si>
  <si>
    <t>https://olis.oregonlegislature.gov/liz/2021R1/Downloads/MeasureDocument/HB2062/Enrolled</t>
  </si>
  <si>
    <t>Oregon Calcs</t>
  </si>
  <si>
    <t>2026 target</t>
  </si>
  <si>
    <t>start year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</si>
</sst>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2" borderId="0" xfId="0" applyFont="1" applyFill="1"/>
    <xf numFmtId="0" fontId="6" fillId="0" borderId="0" xfId="0" applyFont="1"/>
    <xf numFmtId="9" fontId="0" fillId="0" borderId="0" xfId="1" applyFont="1"/>
    <xf numFmtId="2" fontId="0" fillId="0" borderId="0" xfId="1" applyNumberFormat="1" applyFont="1"/>
    <xf numFmtId="0" fontId="0" fillId="0" borderId="0" xfId="0" applyAlignment="1">
      <alignment wrapText="1"/>
    </xf>
    <xf numFmtId="0" fontId="7" fillId="0" borderId="0" xfId="9"/>
    <xf numFmtId="0" fontId="8" fillId="0" borderId="0" xfId="0" applyFont="1"/>
    <xf numFmtId="14" fontId="0" fillId="0" borderId="0" xfId="0" applyNumberFormat="1"/>
    <xf numFmtId="0" fontId="9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5" xfId="0" applyFont="1" applyBorder="1"/>
    <xf numFmtId="164" fontId="0" fillId="4" borderId="0" xfId="0" applyNumberFormat="1" applyFill="1"/>
    <xf numFmtId="164" fontId="0" fillId="5" borderId="0" xfId="0" applyNumberFormat="1" applyFill="1"/>
    <xf numFmtId="2" fontId="0" fillId="3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1" fontId="0" fillId="0" borderId="0" xfId="0" applyNumberFormat="1"/>
    <xf numFmtId="1" fontId="0" fillId="3" borderId="0" xfId="0" applyNumberFormat="1" applyFill="1"/>
    <xf numFmtId="166" fontId="0" fillId="0" borderId="0" xfId="0" applyNumberForma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12</xdr:col>
      <xdr:colOff>261937</xdr:colOff>
      <xdr:row>22</xdr:row>
      <xdr:rowOff>9914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7D3D5-6178-4752-A0D6-2DF92DB4B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87325"/>
          <a:ext cx="5138737" cy="375641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164036</xdr:rowOff>
    </xdr:from>
    <xdr:to>
      <xdr:col>12</xdr:col>
      <xdr:colOff>406400</xdr:colOff>
      <xdr:row>41</xdr:row>
      <xdr:rowOff>50534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5BAB1D-F696-DD13-7011-619385227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2400" y="5129736"/>
          <a:ext cx="5791200" cy="2743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ology.wa.gov/air-climate/reducing-greenhouse-gas-emissions/clean-fuel-standard" TargetMode="External"/><Relationship Id="rId1" Type="http://schemas.openxmlformats.org/officeDocument/2006/relationships/hyperlink" Target="https://www.arb.ca.gov/regact/2018/lcfs18/isor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24" customWidth="1"/>
    <col min="2" max="2" width="56.6640625" customWidth="1"/>
  </cols>
  <sheetData>
    <row r="1" spans="1:6" x14ac:dyDescent="0.2">
      <c r="A1" s="1" t="s">
        <v>0</v>
      </c>
      <c r="B1" s="8" t="s">
        <v>47</v>
      </c>
      <c r="C1" s="9">
        <v>45699</v>
      </c>
      <c r="E1" s="10" t="s">
        <v>13</v>
      </c>
      <c r="F1" s="10" t="s">
        <v>13</v>
      </c>
    </row>
    <row r="2" spans="1:6" x14ac:dyDescent="0.2">
      <c r="B2" t="str">
        <f>LOOKUP(B1,E2:F51,F2:F51)</f>
        <v>LA</v>
      </c>
      <c r="E2" s="8" t="s">
        <v>14</v>
      </c>
      <c r="F2" s="8" t="s">
        <v>15</v>
      </c>
    </row>
    <row r="3" spans="1:6" x14ac:dyDescent="0.2">
      <c r="A3" s="1" t="s">
        <v>1</v>
      </c>
      <c r="B3" s="2" t="s">
        <v>3</v>
      </c>
      <c r="E3" s="8" t="s">
        <v>16</v>
      </c>
      <c r="F3" s="8" t="s">
        <v>17</v>
      </c>
    </row>
    <row r="4" spans="1:6" x14ac:dyDescent="0.2">
      <c r="A4" s="1"/>
      <c r="B4" t="s">
        <v>7</v>
      </c>
      <c r="E4" s="8" t="s">
        <v>18</v>
      </c>
      <c r="F4" s="8" t="s">
        <v>19</v>
      </c>
    </row>
    <row r="5" spans="1:6" x14ac:dyDescent="0.2">
      <c r="B5" s="7" t="s">
        <v>4</v>
      </c>
      <c r="E5" s="8" t="s">
        <v>20</v>
      </c>
      <c r="F5" s="8" t="s">
        <v>21</v>
      </c>
    </row>
    <row r="6" spans="1:6" x14ac:dyDescent="0.2">
      <c r="B6" t="s">
        <v>5</v>
      </c>
      <c r="E6" s="8" t="s">
        <v>22</v>
      </c>
      <c r="F6" s="8" t="s">
        <v>23</v>
      </c>
    </row>
    <row r="7" spans="1:6" x14ac:dyDescent="0.2">
      <c r="B7" t="s">
        <v>8</v>
      </c>
      <c r="E7" s="8" t="s">
        <v>12</v>
      </c>
      <c r="F7" s="8" t="s">
        <v>24</v>
      </c>
    </row>
    <row r="8" spans="1:6" x14ac:dyDescent="0.2">
      <c r="E8" s="8" t="s">
        <v>25</v>
      </c>
      <c r="F8" s="8" t="s">
        <v>26</v>
      </c>
    </row>
    <row r="9" spans="1:6" x14ac:dyDescent="0.2">
      <c r="E9" s="8" t="s">
        <v>27</v>
      </c>
      <c r="F9" s="8" t="s">
        <v>28</v>
      </c>
    </row>
    <row r="10" spans="1:6" x14ac:dyDescent="0.2">
      <c r="B10" s="2" t="s">
        <v>119</v>
      </c>
      <c r="E10" s="8" t="s">
        <v>29</v>
      </c>
      <c r="F10" s="8" t="s">
        <v>30</v>
      </c>
    </row>
    <row r="11" spans="1:6" x14ac:dyDescent="0.2">
      <c r="B11" t="s">
        <v>120</v>
      </c>
      <c r="E11" s="8" t="s">
        <v>31</v>
      </c>
      <c r="F11" s="8" t="s">
        <v>32</v>
      </c>
    </row>
    <row r="12" spans="1:6" x14ac:dyDescent="0.2">
      <c r="B12" s="7" t="s">
        <v>118</v>
      </c>
      <c r="E12" s="8" t="s">
        <v>33</v>
      </c>
      <c r="F12" s="8" t="s">
        <v>34</v>
      </c>
    </row>
    <row r="13" spans="1:6" x14ac:dyDescent="0.2">
      <c r="B13" t="s">
        <v>121</v>
      </c>
      <c r="E13" s="8" t="s">
        <v>35</v>
      </c>
      <c r="F13" s="8" t="s">
        <v>36</v>
      </c>
    </row>
    <row r="14" spans="1:6" x14ac:dyDescent="0.2">
      <c r="E14" s="8" t="s">
        <v>37</v>
      </c>
      <c r="F14" s="8" t="s">
        <v>38</v>
      </c>
    </row>
    <row r="15" spans="1:6" x14ac:dyDescent="0.2">
      <c r="E15" s="8" t="s">
        <v>39</v>
      </c>
      <c r="F15" s="8" t="s">
        <v>40</v>
      </c>
    </row>
    <row r="16" spans="1:6" x14ac:dyDescent="0.2">
      <c r="A16" s="1"/>
      <c r="B16" s="2" t="s">
        <v>125</v>
      </c>
      <c r="E16" s="8" t="s">
        <v>41</v>
      </c>
      <c r="F16" s="8" t="s">
        <v>42</v>
      </c>
    </row>
    <row r="17" spans="1:17" x14ac:dyDescent="0.2">
      <c r="B17" t="s">
        <v>126</v>
      </c>
      <c r="E17" s="8" t="s">
        <v>43</v>
      </c>
      <c r="F17" s="8" t="s">
        <v>44</v>
      </c>
    </row>
    <row r="18" spans="1:17" x14ac:dyDescent="0.2">
      <c r="B18" s="7" t="s">
        <v>127</v>
      </c>
      <c r="E18" s="8" t="s">
        <v>45</v>
      </c>
      <c r="F18" s="8" t="s">
        <v>46</v>
      </c>
    </row>
    <row r="19" spans="1:17" x14ac:dyDescent="0.2">
      <c r="E19" s="8" t="s">
        <v>47</v>
      </c>
      <c r="F19" s="8" t="s">
        <v>48</v>
      </c>
    </row>
    <row r="20" spans="1:17" x14ac:dyDescent="0.2">
      <c r="E20" s="8" t="s">
        <v>49</v>
      </c>
      <c r="F20" s="8" t="s">
        <v>50</v>
      </c>
    </row>
    <row r="21" spans="1:17" x14ac:dyDescent="0.2">
      <c r="A21" s="1" t="s">
        <v>6</v>
      </c>
      <c r="E21" s="8" t="s">
        <v>51</v>
      </c>
      <c r="F21" s="8" t="s">
        <v>52</v>
      </c>
    </row>
    <row r="22" spans="1:17" x14ac:dyDescent="0.2">
      <c r="E22" s="8" t="s">
        <v>53</v>
      </c>
      <c r="F22" s="8" t="s">
        <v>54</v>
      </c>
    </row>
    <row r="23" spans="1:17" x14ac:dyDescent="0.2">
      <c r="E23" s="8" t="s">
        <v>55</v>
      </c>
      <c r="F23" s="8" t="s">
        <v>56</v>
      </c>
    </row>
    <row r="24" spans="1:17" x14ac:dyDescent="0.2">
      <c r="E24" s="8" t="s">
        <v>57</v>
      </c>
      <c r="F24" s="8" t="s">
        <v>58</v>
      </c>
    </row>
    <row r="25" spans="1:17" x14ac:dyDescent="0.2">
      <c r="B25" s="5"/>
      <c r="C25" s="5"/>
      <c r="D25" s="5"/>
      <c r="E25" s="8" t="s">
        <v>59</v>
      </c>
      <c r="F25" s="8" t="s">
        <v>60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">
      <c r="B26" s="5"/>
      <c r="C26" s="5"/>
      <c r="D26" s="5"/>
      <c r="E26" s="8" t="s">
        <v>61</v>
      </c>
      <c r="F26" s="8" t="s">
        <v>62</v>
      </c>
    </row>
    <row r="27" spans="1:17" x14ac:dyDescent="0.2">
      <c r="A27" s="6"/>
      <c r="B27" s="5"/>
      <c r="C27" s="5"/>
      <c r="D27" s="5"/>
      <c r="E27" s="8" t="s">
        <v>63</v>
      </c>
      <c r="F27" s="8" t="s">
        <v>64</v>
      </c>
    </row>
    <row r="28" spans="1:17" x14ac:dyDescent="0.2">
      <c r="E28" s="8" t="s">
        <v>65</v>
      </c>
      <c r="F28" s="8" t="s">
        <v>66</v>
      </c>
    </row>
    <row r="29" spans="1:17" x14ac:dyDescent="0.2">
      <c r="E29" s="8" t="s">
        <v>67</v>
      </c>
      <c r="F29" s="8" t="s">
        <v>68</v>
      </c>
    </row>
    <row r="30" spans="1:17" x14ac:dyDescent="0.2">
      <c r="E30" s="8" t="s">
        <v>69</v>
      </c>
      <c r="F30" s="8" t="s">
        <v>70</v>
      </c>
    </row>
    <row r="31" spans="1:17" x14ac:dyDescent="0.2">
      <c r="E31" s="8" t="s">
        <v>71</v>
      </c>
      <c r="F31" s="8" t="s">
        <v>72</v>
      </c>
    </row>
    <row r="32" spans="1:17" x14ac:dyDescent="0.2">
      <c r="E32" s="8" t="s">
        <v>73</v>
      </c>
      <c r="F32" s="8" t="s">
        <v>74</v>
      </c>
    </row>
    <row r="33" spans="5:6" x14ac:dyDescent="0.2">
      <c r="E33" s="8" t="s">
        <v>75</v>
      </c>
      <c r="F33" s="8" t="s">
        <v>76</v>
      </c>
    </row>
    <row r="34" spans="5:6" x14ac:dyDescent="0.2">
      <c r="E34" s="8" t="s">
        <v>77</v>
      </c>
      <c r="F34" s="8" t="s">
        <v>78</v>
      </c>
    </row>
    <row r="35" spans="5:6" x14ac:dyDescent="0.2">
      <c r="E35" s="8" t="s">
        <v>79</v>
      </c>
      <c r="F35" s="8" t="s">
        <v>80</v>
      </c>
    </row>
    <row r="36" spans="5:6" x14ac:dyDescent="0.2">
      <c r="E36" s="8" t="s">
        <v>81</v>
      </c>
      <c r="F36" s="8" t="s">
        <v>82</v>
      </c>
    </row>
    <row r="37" spans="5:6" x14ac:dyDescent="0.2">
      <c r="E37" s="8" t="s">
        <v>83</v>
      </c>
      <c r="F37" s="8" t="s">
        <v>84</v>
      </c>
    </row>
    <row r="38" spans="5:6" x14ac:dyDescent="0.2">
      <c r="E38" s="8" t="s">
        <v>85</v>
      </c>
      <c r="F38" s="8" t="s">
        <v>86</v>
      </c>
    </row>
    <row r="39" spans="5:6" x14ac:dyDescent="0.2">
      <c r="E39" s="8" t="s">
        <v>87</v>
      </c>
      <c r="F39" s="8" t="s">
        <v>88</v>
      </c>
    </row>
    <row r="40" spans="5:6" x14ac:dyDescent="0.2">
      <c r="E40" s="8" t="s">
        <v>89</v>
      </c>
      <c r="F40" s="8" t="s">
        <v>90</v>
      </c>
    </row>
    <row r="41" spans="5:6" x14ac:dyDescent="0.2">
      <c r="E41" s="8" t="s">
        <v>91</v>
      </c>
      <c r="F41" s="8" t="s">
        <v>92</v>
      </c>
    </row>
    <row r="42" spans="5:6" x14ac:dyDescent="0.2">
      <c r="E42" s="8" t="s">
        <v>93</v>
      </c>
      <c r="F42" s="8" t="s">
        <v>94</v>
      </c>
    </row>
    <row r="43" spans="5:6" x14ac:dyDescent="0.2">
      <c r="E43" s="8" t="s">
        <v>95</v>
      </c>
      <c r="F43" s="8" t="s">
        <v>96</v>
      </c>
    </row>
    <row r="44" spans="5:6" x14ac:dyDescent="0.2">
      <c r="E44" s="8" t="s">
        <v>97</v>
      </c>
      <c r="F44" s="8" t="s">
        <v>98</v>
      </c>
    </row>
    <row r="45" spans="5:6" x14ac:dyDescent="0.2">
      <c r="E45" s="8" t="s">
        <v>99</v>
      </c>
      <c r="F45" s="8" t="s">
        <v>100</v>
      </c>
    </row>
    <row r="46" spans="5:6" x14ac:dyDescent="0.2">
      <c r="E46" s="8" t="s">
        <v>101</v>
      </c>
      <c r="F46" s="8" t="s">
        <v>102</v>
      </c>
    </row>
    <row r="47" spans="5:6" x14ac:dyDescent="0.2">
      <c r="E47" s="8" t="s">
        <v>103</v>
      </c>
      <c r="F47" s="8" t="s">
        <v>104</v>
      </c>
    </row>
    <row r="48" spans="5:6" x14ac:dyDescent="0.2">
      <c r="E48" s="8" t="s">
        <v>105</v>
      </c>
      <c r="F48" s="8" t="s">
        <v>106</v>
      </c>
    </row>
    <row r="49" spans="5:6" x14ac:dyDescent="0.2">
      <c r="E49" s="8" t="s">
        <v>107</v>
      </c>
      <c r="F49" s="8" t="s">
        <v>108</v>
      </c>
    </row>
    <row r="50" spans="5:6" x14ac:dyDescent="0.2">
      <c r="E50" s="8" t="s">
        <v>109</v>
      </c>
      <c r="F50" s="8" t="s">
        <v>110</v>
      </c>
    </row>
    <row r="51" spans="5:6" x14ac:dyDescent="0.2">
      <c r="E51" s="8" t="s">
        <v>111</v>
      </c>
      <c r="F51" s="8" t="s">
        <v>112</v>
      </c>
    </row>
  </sheetData>
  <hyperlinks>
    <hyperlink ref="B5" r:id="rId1" xr:uid="{00000000-0004-0000-0000-000000000000}"/>
    <hyperlink ref="B12" r:id="rId2" xr:uid="{4433714A-5DC6-A046-80C4-E721A65849C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BA52"/>
  <sheetViews>
    <sheetView topLeftCell="T1" workbookViewId="0">
      <selection activeCell="Z39" sqref="Z39"/>
    </sheetView>
  </sheetViews>
  <sheetFormatPr baseColWidth="10" defaultColWidth="8.83203125" defaultRowHeight="15" x14ac:dyDescent="0.2"/>
  <sheetData>
    <row r="1" spans="1:53" x14ac:dyDescent="0.2">
      <c r="A1" s="18" t="s">
        <v>116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53" x14ac:dyDescent="0.2">
      <c r="A2" s="13" t="s">
        <v>10</v>
      </c>
      <c r="M2" s="14"/>
      <c r="P2" s="10" t="s">
        <v>13</v>
      </c>
      <c r="Q2" s="10" t="s">
        <v>13</v>
      </c>
      <c r="R2" t="s">
        <v>113</v>
      </c>
      <c r="S2">
        <v>2016</v>
      </c>
      <c r="T2">
        <v>2017</v>
      </c>
      <c r="U2">
        <v>2018</v>
      </c>
      <c r="V2">
        <v>2019</v>
      </c>
      <c r="W2">
        <v>2020</v>
      </c>
      <c r="X2">
        <v>2021</v>
      </c>
      <c r="Y2">
        <v>2022</v>
      </c>
      <c r="Z2">
        <v>2023</v>
      </c>
      <c r="AA2">
        <v>2024</v>
      </c>
      <c r="AB2">
        <v>2025</v>
      </c>
      <c r="AC2">
        <v>2026</v>
      </c>
      <c r="AD2">
        <v>2027</v>
      </c>
      <c r="AE2">
        <v>2028</v>
      </c>
      <c r="AF2">
        <v>2029</v>
      </c>
      <c r="AG2">
        <v>2030</v>
      </c>
      <c r="AH2">
        <v>2031</v>
      </c>
      <c r="AI2">
        <v>2032</v>
      </c>
      <c r="AJ2">
        <v>2033</v>
      </c>
      <c r="AK2">
        <v>2034</v>
      </c>
      <c r="AL2">
        <v>2035</v>
      </c>
      <c r="AM2">
        <v>2036</v>
      </c>
      <c r="AN2">
        <v>2037</v>
      </c>
      <c r="AO2">
        <v>2038</v>
      </c>
      <c r="AP2">
        <v>2039</v>
      </c>
      <c r="AQ2">
        <v>2040</v>
      </c>
      <c r="AR2">
        <v>2041</v>
      </c>
      <c r="AS2">
        <v>2042</v>
      </c>
      <c r="AT2">
        <v>2043</v>
      </c>
      <c r="AU2">
        <v>2044</v>
      </c>
      <c r="AV2">
        <v>2045</v>
      </c>
      <c r="AW2">
        <v>2046</v>
      </c>
      <c r="AX2">
        <v>2047</v>
      </c>
      <c r="AY2">
        <v>2048</v>
      </c>
      <c r="AZ2">
        <v>2049</v>
      </c>
      <c r="BA2">
        <v>2050</v>
      </c>
    </row>
    <row r="3" spans="1:53" x14ac:dyDescent="0.2">
      <c r="A3" s="13"/>
      <c r="M3" s="14"/>
      <c r="P3" s="8" t="s">
        <v>14</v>
      </c>
      <c r="Q3" s="8" t="s">
        <v>15</v>
      </c>
      <c r="R3" t="s">
        <v>114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">
      <c r="A4" s="13" t="s">
        <v>11</v>
      </c>
      <c r="C4">
        <v>1.2500000000000001E-2</v>
      </c>
      <c r="M4" s="14"/>
      <c r="P4" s="8" t="s">
        <v>16</v>
      </c>
      <c r="Q4" s="8" t="s">
        <v>17</v>
      </c>
      <c r="R4" t="s">
        <v>114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">
      <c r="A5" s="13" t="s">
        <v>9</v>
      </c>
      <c r="C5">
        <v>3.5000000000000003E-2</v>
      </c>
      <c r="M5" s="14"/>
      <c r="P5" s="8" t="s">
        <v>18</v>
      </c>
      <c r="Q5" s="8" t="s">
        <v>19</v>
      </c>
      <c r="R5" t="s">
        <v>114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A6" s="13"/>
      <c r="M6" s="14"/>
      <c r="P6" s="8" t="s">
        <v>20</v>
      </c>
      <c r="Q6" s="8" t="s">
        <v>21</v>
      </c>
      <c r="R6" t="s">
        <v>114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">
      <c r="A7" s="13"/>
      <c r="M7" s="14"/>
      <c r="P7" s="8" t="s">
        <v>22</v>
      </c>
      <c r="Q7" s="8" t="s">
        <v>23</v>
      </c>
      <c r="R7" t="s">
        <v>115</v>
      </c>
      <c r="S7">
        <v>0</v>
      </c>
      <c r="T7">
        <v>0</v>
      </c>
      <c r="U7" s="21">
        <v>0.05</v>
      </c>
      <c r="V7" s="23">
        <f>U7+StatePolicies!$C$4</f>
        <v>6.25E-2</v>
      </c>
      <c r="W7" s="23">
        <f>V7+StatePolicies!$C$4</f>
        <v>7.4999999999999997E-2</v>
      </c>
      <c r="X7" s="23">
        <f>W7+StatePolicies!$C$4</f>
        <v>8.7499999999999994E-2</v>
      </c>
      <c r="Y7" s="23">
        <f>X7+StatePolicies!$C$4</f>
        <v>9.9999999999999992E-2</v>
      </c>
      <c r="Z7" s="23">
        <f>Y7+StatePolicies!$C$4</f>
        <v>0.11249999999999999</v>
      </c>
      <c r="AA7" s="23">
        <f>Z7+StatePolicies!$C$4</f>
        <v>0.12499999999999999</v>
      </c>
      <c r="AB7" s="23">
        <f>AA7+StatePolicies!$C$4</f>
        <v>0.13749999999999998</v>
      </c>
      <c r="AC7" s="23">
        <f>AB7+StatePolicies!$C$4</f>
        <v>0.15</v>
      </c>
      <c r="AD7" s="23">
        <f>AC7+StatePolicies!$C$4</f>
        <v>0.16250000000000001</v>
      </c>
      <c r="AE7" s="23">
        <f>AD7+StatePolicies!$C$4</f>
        <v>0.17500000000000002</v>
      </c>
      <c r="AF7" s="23">
        <f>AE7+StatePolicies!$C$4</f>
        <v>0.18750000000000003</v>
      </c>
      <c r="AG7" s="19">
        <f>AF7+StatePolicies!$C$4</f>
        <v>0.20000000000000004</v>
      </c>
      <c r="AH7" s="20">
        <f t="shared" ref="AH7:BA7" si="0">AG7</f>
        <v>0.20000000000000004</v>
      </c>
      <c r="AI7">
        <f t="shared" si="0"/>
        <v>0.20000000000000004</v>
      </c>
      <c r="AJ7">
        <f t="shared" si="0"/>
        <v>0.20000000000000004</v>
      </c>
      <c r="AK7">
        <f t="shared" si="0"/>
        <v>0.20000000000000004</v>
      </c>
      <c r="AL7">
        <f t="shared" si="0"/>
        <v>0.20000000000000004</v>
      </c>
      <c r="AM7">
        <f t="shared" si="0"/>
        <v>0.20000000000000004</v>
      </c>
      <c r="AN7">
        <f t="shared" si="0"/>
        <v>0.20000000000000004</v>
      </c>
      <c r="AO7">
        <f t="shared" si="0"/>
        <v>0.20000000000000004</v>
      </c>
      <c r="AP7">
        <f t="shared" si="0"/>
        <v>0.20000000000000004</v>
      </c>
      <c r="AQ7">
        <f t="shared" si="0"/>
        <v>0.20000000000000004</v>
      </c>
      <c r="AR7">
        <f t="shared" si="0"/>
        <v>0.20000000000000004</v>
      </c>
      <c r="AS7">
        <f t="shared" si="0"/>
        <v>0.20000000000000004</v>
      </c>
      <c r="AT7">
        <f t="shared" si="0"/>
        <v>0.20000000000000004</v>
      </c>
      <c r="AU7">
        <f t="shared" si="0"/>
        <v>0.20000000000000004</v>
      </c>
      <c r="AV7">
        <f t="shared" si="0"/>
        <v>0.20000000000000004</v>
      </c>
      <c r="AW7">
        <f t="shared" si="0"/>
        <v>0.20000000000000004</v>
      </c>
      <c r="AX7">
        <f t="shared" si="0"/>
        <v>0.20000000000000004</v>
      </c>
      <c r="AY7">
        <f t="shared" si="0"/>
        <v>0.20000000000000004</v>
      </c>
      <c r="AZ7">
        <f t="shared" si="0"/>
        <v>0.20000000000000004</v>
      </c>
      <c r="BA7">
        <f t="shared" si="0"/>
        <v>0.20000000000000004</v>
      </c>
    </row>
    <row r="8" spans="1:53" x14ac:dyDescent="0.2">
      <c r="A8" s="13"/>
      <c r="M8" s="14"/>
      <c r="P8" s="8" t="s">
        <v>12</v>
      </c>
      <c r="Q8" s="8" t="s">
        <v>24</v>
      </c>
      <c r="R8" t="s">
        <v>114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3"/>
      <c r="M9" s="14"/>
      <c r="P9" s="8" t="s">
        <v>25</v>
      </c>
      <c r="Q9" s="8" t="s">
        <v>26</v>
      </c>
      <c r="R9" t="s">
        <v>114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">
      <c r="A10" s="13"/>
      <c r="M10" s="14"/>
      <c r="P10" s="8" t="s">
        <v>27</v>
      </c>
      <c r="Q10" s="8" t="s">
        <v>28</v>
      </c>
      <c r="R10" t="s">
        <v>114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">
      <c r="A11" s="13"/>
      <c r="M11" s="14"/>
      <c r="P11" s="8" t="s">
        <v>29</v>
      </c>
      <c r="Q11" s="8" t="s">
        <v>30</v>
      </c>
      <c r="R11" t="s">
        <v>114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">
      <c r="A12" s="13"/>
      <c r="M12" s="14"/>
      <c r="P12" s="8" t="s">
        <v>31</v>
      </c>
      <c r="Q12" s="8" t="s">
        <v>32</v>
      </c>
      <c r="R12" t="s">
        <v>114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">
      <c r="A13" s="13"/>
      <c r="M13" s="14"/>
      <c r="P13" s="8" t="s">
        <v>33</v>
      </c>
      <c r="Q13" s="8" t="s">
        <v>34</v>
      </c>
      <c r="R13" t="s">
        <v>114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A14" s="13"/>
      <c r="M14" s="14"/>
      <c r="P14" s="8" t="s">
        <v>35</v>
      </c>
      <c r="Q14" s="8" t="s">
        <v>36</v>
      </c>
      <c r="R14" t="s">
        <v>114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 s="13"/>
      <c r="M15" s="14"/>
      <c r="P15" s="8" t="s">
        <v>37</v>
      </c>
      <c r="Q15" s="8" t="s">
        <v>38</v>
      </c>
      <c r="R15" t="s">
        <v>114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">
      <c r="A16" s="13"/>
      <c r="M16" s="14"/>
      <c r="P16" s="8" t="s">
        <v>39</v>
      </c>
      <c r="Q16" s="8" t="s">
        <v>40</v>
      </c>
      <c r="R16" t="s">
        <v>114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">
      <c r="A17" s="13"/>
      <c r="M17" s="14"/>
      <c r="P17" s="8" t="s">
        <v>41</v>
      </c>
      <c r="Q17" s="8" t="s">
        <v>42</v>
      </c>
      <c r="R17" t="s">
        <v>114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">
      <c r="A18" s="13"/>
      <c r="M18" s="14"/>
      <c r="P18" s="8" t="s">
        <v>43</v>
      </c>
      <c r="Q18" s="8" t="s">
        <v>44</v>
      </c>
      <c r="R18" t="s">
        <v>114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">
      <c r="A19" s="13"/>
      <c r="M19" s="14"/>
      <c r="P19" s="8" t="s">
        <v>45</v>
      </c>
      <c r="Q19" s="8" t="s">
        <v>46</v>
      </c>
      <c r="R19" t="s">
        <v>114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">
      <c r="A20" s="13"/>
      <c r="M20" s="14"/>
      <c r="P20" s="8" t="s">
        <v>47</v>
      </c>
      <c r="Q20" s="8" t="s">
        <v>48</v>
      </c>
      <c r="R20" t="s">
        <v>114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">
      <c r="A21" s="13"/>
      <c r="M21" s="14"/>
      <c r="P21" s="8" t="s">
        <v>49</v>
      </c>
      <c r="Q21" s="8" t="s">
        <v>50</v>
      </c>
      <c r="R21" t="s">
        <v>114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">
      <c r="A22" s="13"/>
      <c r="M22" s="14"/>
      <c r="P22" s="8" t="s">
        <v>51</v>
      </c>
      <c r="Q22" s="8" t="s">
        <v>52</v>
      </c>
      <c r="R22" t="s">
        <v>114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">
      <c r="A23" s="13"/>
      <c r="M23" s="14"/>
      <c r="P23" s="8" t="s">
        <v>53</v>
      </c>
      <c r="Q23" s="8" t="s">
        <v>54</v>
      </c>
      <c r="R23" t="s">
        <v>114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ht="16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P24" s="8" t="s">
        <v>55</v>
      </c>
      <c r="Q24" s="8" t="s">
        <v>56</v>
      </c>
      <c r="R24" t="s">
        <v>114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">
      <c r="P25" s="8" t="s">
        <v>57</v>
      </c>
      <c r="Q25" s="8" t="s">
        <v>58</v>
      </c>
      <c r="R25" t="s">
        <v>114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ht="16" thickBot="1" x14ac:dyDescent="0.25">
      <c r="P26" s="8" t="s">
        <v>59</v>
      </c>
      <c r="Q26" s="8" t="s">
        <v>60</v>
      </c>
      <c r="R26" t="s">
        <v>114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">
      <c r="A27" s="18" t="s">
        <v>117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  <c r="P27" s="8" t="s">
        <v>61</v>
      </c>
      <c r="Q27" s="8" t="s">
        <v>62</v>
      </c>
      <c r="R27" t="s">
        <v>114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">
      <c r="A28" s="13"/>
      <c r="M28" s="14"/>
      <c r="P28" s="8" t="s">
        <v>63</v>
      </c>
      <c r="Q28" s="8" t="s">
        <v>64</v>
      </c>
      <c r="R28" t="s">
        <v>114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">
      <c r="A29" s="13" t="s">
        <v>122</v>
      </c>
      <c r="C29">
        <v>0.2</v>
      </c>
      <c r="M29" s="14"/>
      <c r="P29" s="8" t="s">
        <v>65</v>
      </c>
      <c r="Q29" s="8" t="s">
        <v>66</v>
      </c>
      <c r="R29" t="s">
        <v>114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">
      <c r="A30" s="13" t="s">
        <v>123</v>
      </c>
      <c r="C30">
        <v>0</v>
      </c>
      <c r="M30" s="14"/>
      <c r="P30" s="8" t="s">
        <v>67</v>
      </c>
      <c r="Q30" s="8" t="s">
        <v>68</v>
      </c>
      <c r="R30" t="s">
        <v>114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">
      <c r="A31" s="13" t="s">
        <v>124</v>
      </c>
      <c r="C31">
        <f>C29/12</f>
        <v>1.6666666666666666E-2</v>
      </c>
      <c r="M31" s="14"/>
      <c r="P31" s="8" t="s">
        <v>69</v>
      </c>
      <c r="Q31" s="8" t="s">
        <v>70</v>
      </c>
      <c r="R31" t="s">
        <v>114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">
      <c r="A32" s="13"/>
      <c r="M32" s="14"/>
      <c r="P32" s="8" t="s">
        <v>71</v>
      </c>
      <c r="Q32" s="8" t="s">
        <v>72</v>
      </c>
      <c r="R32" t="s">
        <v>114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 s="13"/>
      <c r="M33" s="14"/>
      <c r="P33" s="8" t="s">
        <v>73</v>
      </c>
      <c r="Q33" s="8" t="s">
        <v>74</v>
      </c>
      <c r="R33" t="s">
        <v>114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 s="13"/>
      <c r="M34" s="14"/>
      <c r="P34" s="8" t="s">
        <v>75</v>
      </c>
      <c r="Q34" s="8" t="s">
        <v>76</v>
      </c>
      <c r="R34" t="s">
        <v>114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">
      <c r="A35" s="13"/>
      <c r="M35" s="14"/>
      <c r="P35" s="8" t="s">
        <v>77</v>
      </c>
      <c r="Q35" s="8" t="s">
        <v>78</v>
      </c>
      <c r="R35" t="s">
        <v>114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">
      <c r="A36" s="13"/>
      <c r="M36" s="14"/>
      <c r="P36" s="8" t="s">
        <v>79</v>
      </c>
      <c r="Q36" s="8" t="s">
        <v>80</v>
      </c>
      <c r="R36" t="s">
        <v>114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">
      <c r="A37" s="13"/>
      <c r="M37" s="14"/>
      <c r="P37" s="8" t="s">
        <v>81</v>
      </c>
      <c r="Q37" s="8" t="s">
        <v>82</v>
      </c>
      <c r="R37" t="s">
        <v>114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A38" s="13"/>
      <c r="M38" s="14"/>
      <c r="P38" s="8" t="s">
        <v>83</v>
      </c>
      <c r="Q38" s="8" t="s">
        <v>84</v>
      </c>
      <c r="R38" t="s">
        <v>114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">
      <c r="A39" s="13"/>
      <c r="M39" s="14"/>
      <c r="P39" s="8" t="s">
        <v>85</v>
      </c>
      <c r="Q39" s="8" t="s">
        <v>86</v>
      </c>
      <c r="R39" t="s">
        <v>115</v>
      </c>
      <c r="S39" s="27">
        <f>C49</f>
        <v>0</v>
      </c>
      <c r="T39" s="28">
        <f>S39+$C50</f>
        <v>0.01</v>
      </c>
      <c r="U39" s="28">
        <f t="shared" ref="U39:AB39" si="1">T39+$C50</f>
        <v>0.02</v>
      </c>
      <c r="V39" s="28">
        <f t="shared" si="1"/>
        <v>0.03</v>
      </c>
      <c r="W39" s="28">
        <f t="shared" si="1"/>
        <v>0.04</v>
      </c>
      <c r="X39" s="28">
        <f t="shared" si="1"/>
        <v>0.05</v>
      </c>
      <c r="Y39" s="28">
        <f t="shared" si="1"/>
        <v>6.0000000000000005E-2</v>
      </c>
      <c r="Z39" s="28">
        <f t="shared" si="1"/>
        <v>7.0000000000000007E-2</v>
      </c>
      <c r="AA39" s="28">
        <f t="shared" si="1"/>
        <v>0.08</v>
      </c>
      <c r="AB39" s="28">
        <f t="shared" si="1"/>
        <v>0.09</v>
      </c>
      <c r="AC39" s="29">
        <f>C48</f>
        <v>0.1</v>
      </c>
      <c r="AD39">
        <f>$AC39</f>
        <v>0.1</v>
      </c>
      <c r="AE39">
        <f t="shared" ref="AE39:BA39" si="2">$AC39</f>
        <v>0.1</v>
      </c>
      <c r="AF39">
        <f t="shared" si="2"/>
        <v>0.1</v>
      </c>
      <c r="AG39">
        <f t="shared" si="2"/>
        <v>0.1</v>
      </c>
      <c r="AH39">
        <f t="shared" si="2"/>
        <v>0.1</v>
      </c>
      <c r="AI39">
        <f t="shared" si="2"/>
        <v>0.1</v>
      </c>
      <c r="AJ39">
        <f t="shared" si="2"/>
        <v>0.1</v>
      </c>
      <c r="AK39">
        <f t="shared" si="2"/>
        <v>0.1</v>
      </c>
      <c r="AL39">
        <f t="shared" si="2"/>
        <v>0.1</v>
      </c>
      <c r="AM39">
        <f t="shared" si="2"/>
        <v>0.1</v>
      </c>
      <c r="AN39">
        <f t="shared" si="2"/>
        <v>0.1</v>
      </c>
      <c r="AO39">
        <f t="shared" si="2"/>
        <v>0.1</v>
      </c>
      <c r="AP39">
        <f t="shared" si="2"/>
        <v>0.1</v>
      </c>
      <c r="AQ39">
        <f t="shared" si="2"/>
        <v>0.1</v>
      </c>
      <c r="AR39">
        <f t="shared" si="2"/>
        <v>0.1</v>
      </c>
      <c r="AS39">
        <f t="shared" si="2"/>
        <v>0.1</v>
      </c>
      <c r="AT39">
        <f t="shared" si="2"/>
        <v>0.1</v>
      </c>
      <c r="AU39">
        <f t="shared" si="2"/>
        <v>0.1</v>
      </c>
      <c r="AV39">
        <f t="shared" si="2"/>
        <v>0.1</v>
      </c>
      <c r="AW39">
        <f t="shared" si="2"/>
        <v>0.1</v>
      </c>
      <c r="AX39">
        <f t="shared" si="2"/>
        <v>0.1</v>
      </c>
      <c r="AY39">
        <f t="shared" si="2"/>
        <v>0.1</v>
      </c>
      <c r="AZ39">
        <f t="shared" si="2"/>
        <v>0.1</v>
      </c>
      <c r="BA39">
        <f t="shared" si="2"/>
        <v>0.1</v>
      </c>
    </row>
    <row r="40" spans="1:53" x14ac:dyDescent="0.2">
      <c r="A40" s="13"/>
      <c r="M40" s="14"/>
      <c r="P40" s="8" t="s">
        <v>87</v>
      </c>
      <c r="Q40" s="8" t="s">
        <v>88</v>
      </c>
      <c r="R40" t="s">
        <v>114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">
      <c r="A41" s="13"/>
      <c r="M41" s="14"/>
      <c r="P41" s="8" t="s">
        <v>89</v>
      </c>
      <c r="Q41" s="8" t="s">
        <v>90</v>
      </c>
      <c r="R41" t="s">
        <v>114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">
      <c r="A42" s="13"/>
      <c r="M42" s="14"/>
      <c r="P42" s="8" t="s">
        <v>91</v>
      </c>
      <c r="Q42" s="8" t="s">
        <v>92</v>
      </c>
      <c r="R42" t="s">
        <v>114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ht="16" thickBot="1" x14ac:dyDescent="0.25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7"/>
      <c r="P43" s="8" t="s">
        <v>93</v>
      </c>
      <c r="Q43" s="8" t="s">
        <v>94</v>
      </c>
      <c r="R43" t="s">
        <v>114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">
      <c r="P44" s="8" t="s">
        <v>95</v>
      </c>
      <c r="Q44" s="8" t="s">
        <v>96</v>
      </c>
      <c r="R44" t="s">
        <v>114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">
      <c r="P45" s="8" t="s">
        <v>97</v>
      </c>
      <c r="Q45" s="8" t="s">
        <v>98</v>
      </c>
      <c r="R45" t="s">
        <v>114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">
      <c r="A46" s="1" t="s">
        <v>128</v>
      </c>
      <c r="P46" s="8" t="s">
        <v>99</v>
      </c>
      <c r="Q46" s="8" t="s">
        <v>100</v>
      </c>
      <c r="R46" t="s">
        <v>114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">
      <c r="P47" s="8" t="s">
        <v>101</v>
      </c>
      <c r="Q47" s="8" t="s">
        <v>102</v>
      </c>
      <c r="R47" t="s">
        <v>114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">
      <c r="A48" t="s">
        <v>129</v>
      </c>
      <c r="C48">
        <v>0.1</v>
      </c>
      <c r="P48" s="8" t="s">
        <v>103</v>
      </c>
      <c r="Q48" s="8" t="s">
        <v>104</v>
      </c>
      <c r="R48" t="s">
        <v>114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">
      <c r="A49" t="s">
        <v>130</v>
      </c>
      <c r="C49">
        <v>0</v>
      </c>
      <c r="I49" s="26"/>
      <c r="P49" s="8" t="s">
        <v>105</v>
      </c>
      <c r="Q49" s="8" t="s">
        <v>106</v>
      </c>
      <c r="R49" t="s">
        <v>115</v>
      </c>
      <c r="S49">
        <v>0</v>
      </c>
      <c r="T49">
        <v>0</v>
      </c>
      <c r="U49" s="24">
        <f t="shared" ref="U49:W49" si="3">$Y49</f>
        <v>0</v>
      </c>
      <c r="V49" s="24">
        <f t="shared" si="3"/>
        <v>0</v>
      </c>
      <c r="W49" s="24">
        <f t="shared" si="3"/>
        <v>0</v>
      </c>
      <c r="X49" s="24">
        <f>$Y49</f>
        <v>0</v>
      </c>
      <c r="Y49" s="25">
        <f>C30</f>
        <v>0</v>
      </c>
      <c r="Z49" s="22">
        <f>Y49+$C31</f>
        <v>1.6666666666666666E-2</v>
      </c>
      <c r="AA49" s="22">
        <f t="shared" ref="AA49:AJ49" si="4">Z49+$C31</f>
        <v>3.3333333333333333E-2</v>
      </c>
      <c r="AB49" s="22">
        <f t="shared" si="4"/>
        <v>0.05</v>
      </c>
      <c r="AC49" s="22">
        <f t="shared" si="4"/>
        <v>6.6666666666666666E-2</v>
      </c>
      <c r="AD49" s="22">
        <f t="shared" si="4"/>
        <v>8.3333333333333329E-2</v>
      </c>
      <c r="AE49" s="22">
        <f t="shared" si="4"/>
        <v>9.9999999999999992E-2</v>
      </c>
      <c r="AF49" s="22">
        <f t="shared" si="4"/>
        <v>0.11666666666666665</v>
      </c>
      <c r="AG49" s="22">
        <f t="shared" si="4"/>
        <v>0.13333333333333333</v>
      </c>
      <c r="AH49" s="22">
        <f t="shared" si="4"/>
        <v>0.15</v>
      </c>
      <c r="AI49" s="22">
        <f t="shared" si="4"/>
        <v>0.16666666666666666</v>
      </c>
      <c r="AJ49" s="22">
        <f t="shared" si="4"/>
        <v>0.18333333333333332</v>
      </c>
      <c r="AK49" s="20">
        <f>C29</f>
        <v>0.2</v>
      </c>
      <c r="AL49">
        <f t="shared" ref="AL49" si="5">AK49</f>
        <v>0.2</v>
      </c>
      <c r="AM49">
        <f t="shared" ref="AM49" si="6">AL49</f>
        <v>0.2</v>
      </c>
      <c r="AN49">
        <f t="shared" ref="AN49" si="7">AM49</f>
        <v>0.2</v>
      </c>
      <c r="AO49">
        <f t="shared" ref="AO49" si="8">AN49</f>
        <v>0.2</v>
      </c>
      <c r="AP49">
        <f t="shared" ref="AP49" si="9">AO49</f>
        <v>0.2</v>
      </c>
      <c r="AQ49">
        <f t="shared" ref="AQ49" si="10">AP49</f>
        <v>0.2</v>
      </c>
      <c r="AR49">
        <f t="shared" ref="AR49" si="11">AQ49</f>
        <v>0.2</v>
      </c>
      <c r="AS49">
        <f t="shared" ref="AS49" si="12">AR49</f>
        <v>0.2</v>
      </c>
      <c r="AT49">
        <f t="shared" ref="AT49" si="13">AS49</f>
        <v>0.2</v>
      </c>
      <c r="AU49">
        <f t="shared" ref="AU49" si="14">AT49</f>
        <v>0.2</v>
      </c>
      <c r="AV49">
        <f t="shared" ref="AV49" si="15">AU49</f>
        <v>0.2</v>
      </c>
      <c r="AW49">
        <f t="shared" ref="AW49" si="16">AV49</f>
        <v>0.2</v>
      </c>
      <c r="AX49">
        <f t="shared" ref="AX49" si="17">AW49</f>
        <v>0.2</v>
      </c>
      <c r="AY49">
        <f t="shared" ref="AY49" si="18">AX49</f>
        <v>0.2</v>
      </c>
      <c r="AZ49">
        <f t="shared" ref="AZ49" si="19">AY49</f>
        <v>0.2</v>
      </c>
      <c r="BA49">
        <f t="shared" ref="BA49" si="20">AZ49</f>
        <v>0.2</v>
      </c>
    </row>
    <row r="50" spans="1:53" x14ac:dyDescent="0.2">
      <c r="A50" t="s">
        <v>124</v>
      </c>
      <c r="C50">
        <f>C48/10</f>
        <v>0.01</v>
      </c>
      <c r="P50" s="8" t="s">
        <v>107</v>
      </c>
      <c r="Q50" s="8" t="s">
        <v>108</v>
      </c>
      <c r="R50" t="s">
        <v>114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">
      <c r="P51" s="8" t="s">
        <v>109</v>
      </c>
      <c r="Q51" s="8" t="s">
        <v>110</v>
      </c>
      <c r="R51" t="s">
        <v>114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">
      <c r="P52" s="8" t="s">
        <v>111</v>
      </c>
      <c r="Q52" s="8" t="s">
        <v>112</v>
      </c>
      <c r="R52" t="s">
        <v>114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H5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5.83203125" customWidth="1"/>
  </cols>
  <sheetData>
    <row r="1" spans="1:34" x14ac:dyDescent="0.2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">
      <c r="A2" t="s">
        <v>2</v>
      </c>
      <c r="B2" cm="1">
        <f t="array" ref="B2">_xlfn.XLOOKUP(BLP!B1, StatePolicies!$U$2:$BA$2, _xlfn.XLOOKUP(About!$B$2, StatePolicies!$Q$3:$Q$52, StatePolicies!$U$3:$BA$52))</f>
        <v>0</v>
      </c>
      <c r="C2" cm="1">
        <f t="array" ref="C2">_xlfn.XLOOKUP(BLP!C1, StatePolicies!$U$2:$BA$2, _xlfn.XLOOKUP(About!$B$2, StatePolicies!$Q$3:$Q$52, StatePolicies!$U$3:$BA$52))</f>
        <v>0</v>
      </c>
      <c r="D2" cm="1">
        <f t="array" ref="D2">_xlfn.XLOOKUP(BLP!D1, StatePolicies!$U$2:$BA$2, _xlfn.XLOOKUP(About!$B$2, StatePolicies!$Q$3:$Q$52, StatePolicies!$U$3:$BA$52))</f>
        <v>0</v>
      </c>
      <c r="E2" cm="1">
        <f t="array" ref="E2">_xlfn.XLOOKUP(BLP!E1, StatePolicies!$U$2:$BA$2, _xlfn.XLOOKUP(About!$B$2, StatePolicies!$Q$3:$Q$52, StatePolicies!$U$3:$BA$52))</f>
        <v>0</v>
      </c>
      <c r="F2" cm="1">
        <f t="array" ref="F2">_xlfn.XLOOKUP(BLP!F1, StatePolicies!$U$2:$BA$2, _xlfn.XLOOKUP(About!$B$2, StatePolicies!$Q$3:$Q$52, StatePolicies!$U$3:$BA$52))</f>
        <v>0</v>
      </c>
      <c r="G2" cm="1">
        <f t="array" ref="G2">_xlfn.XLOOKUP(BLP!G1, StatePolicies!$U$2:$BA$2, _xlfn.XLOOKUP(About!$B$2, StatePolicies!$Q$3:$Q$52, StatePolicies!$U$3:$BA$52))</f>
        <v>0</v>
      </c>
      <c r="H2" cm="1">
        <f t="array" ref="H2">_xlfn.XLOOKUP(BLP!H1, StatePolicies!$U$2:$BA$2, _xlfn.XLOOKUP(About!$B$2, StatePolicies!$Q$3:$Q$52, StatePolicies!$U$3:$BA$52))</f>
        <v>0</v>
      </c>
      <c r="I2" cm="1">
        <f t="array" ref="I2">_xlfn.XLOOKUP(BLP!I1, StatePolicies!$U$2:$BA$2, _xlfn.XLOOKUP(About!$B$2, StatePolicies!$Q$3:$Q$52, StatePolicies!$U$3:$BA$52))</f>
        <v>0</v>
      </c>
      <c r="J2" cm="1">
        <f t="array" ref="J2">_xlfn.XLOOKUP(BLP!J1, StatePolicies!$U$2:$BA$2, _xlfn.XLOOKUP(About!$B$2, StatePolicies!$Q$3:$Q$52, StatePolicies!$U$3:$BA$52))</f>
        <v>0</v>
      </c>
      <c r="K2" cm="1">
        <f t="array" ref="K2">_xlfn.XLOOKUP(BLP!K1, StatePolicies!$U$2:$BA$2, _xlfn.XLOOKUP(About!$B$2, StatePolicies!$Q$3:$Q$52, StatePolicies!$U$3:$BA$52))</f>
        <v>0</v>
      </c>
      <c r="L2" cm="1">
        <f t="array" ref="L2">_xlfn.XLOOKUP(BLP!L1, StatePolicies!$U$2:$BA$2, _xlfn.XLOOKUP(About!$B$2, StatePolicies!$Q$3:$Q$52, StatePolicies!$U$3:$BA$52))</f>
        <v>0</v>
      </c>
      <c r="M2" cm="1">
        <f t="array" ref="M2">_xlfn.XLOOKUP(BLP!M1, StatePolicies!$U$2:$BA$2, _xlfn.XLOOKUP(About!$B$2, StatePolicies!$Q$3:$Q$52, StatePolicies!$U$3:$BA$52))</f>
        <v>0</v>
      </c>
      <c r="N2" cm="1">
        <f t="array" ref="N2">_xlfn.XLOOKUP(BLP!N1, StatePolicies!$U$2:$BA$2, _xlfn.XLOOKUP(About!$B$2, StatePolicies!$Q$3:$Q$52, StatePolicies!$U$3:$BA$52))</f>
        <v>0</v>
      </c>
      <c r="O2" cm="1">
        <f t="array" ref="O2">_xlfn.XLOOKUP(BLP!O1, StatePolicies!$U$2:$BA$2, _xlfn.XLOOKUP(About!$B$2, StatePolicies!$Q$3:$Q$52, StatePolicies!$U$3:$BA$52))</f>
        <v>0</v>
      </c>
      <c r="P2" cm="1">
        <f t="array" ref="P2">_xlfn.XLOOKUP(BLP!P1, StatePolicies!$U$2:$BA$2, _xlfn.XLOOKUP(About!$B$2, StatePolicies!$Q$3:$Q$52, StatePolicies!$U$3:$BA$52))</f>
        <v>0</v>
      </c>
      <c r="Q2" cm="1">
        <f t="array" ref="Q2">_xlfn.XLOOKUP(BLP!Q1, StatePolicies!$U$2:$BA$2, _xlfn.XLOOKUP(About!$B$2, StatePolicies!$Q$3:$Q$52, StatePolicies!$U$3:$BA$52))</f>
        <v>0</v>
      </c>
      <c r="R2" cm="1">
        <f t="array" ref="R2">_xlfn.XLOOKUP(BLP!R1, StatePolicies!$U$2:$BA$2, _xlfn.XLOOKUP(About!$B$2, StatePolicies!$Q$3:$Q$52, StatePolicies!$U$3:$BA$52))</f>
        <v>0</v>
      </c>
      <c r="S2" cm="1">
        <f t="array" ref="S2">_xlfn.XLOOKUP(BLP!S1, StatePolicies!$U$2:$BA$2, _xlfn.XLOOKUP(About!$B$2, StatePolicies!$Q$3:$Q$52, StatePolicies!$U$3:$BA$52))</f>
        <v>0</v>
      </c>
      <c r="T2" cm="1">
        <f t="array" ref="T2">_xlfn.XLOOKUP(BLP!T1, StatePolicies!$U$2:$BA$2, _xlfn.XLOOKUP(About!$B$2, StatePolicies!$Q$3:$Q$52, StatePolicies!$U$3:$BA$52))</f>
        <v>0</v>
      </c>
      <c r="U2" cm="1">
        <f t="array" ref="U2">_xlfn.XLOOKUP(BLP!U1, StatePolicies!$U$2:$BA$2, _xlfn.XLOOKUP(About!$B$2, StatePolicies!$Q$3:$Q$52, StatePolicies!$U$3:$BA$52))</f>
        <v>0</v>
      </c>
      <c r="V2" cm="1">
        <f t="array" ref="V2">_xlfn.XLOOKUP(BLP!V1, StatePolicies!$U$2:$BA$2, _xlfn.XLOOKUP(About!$B$2, StatePolicies!$Q$3:$Q$52, StatePolicies!$U$3:$BA$52))</f>
        <v>0</v>
      </c>
      <c r="W2" cm="1">
        <f t="array" ref="W2">_xlfn.XLOOKUP(BLP!W1, StatePolicies!$U$2:$BA$2, _xlfn.XLOOKUP(About!$B$2, StatePolicies!$Q$3:$Q$52, StatePolicies!$U$3:$BA$52))</f>
        <v>0</v>
      </c>
      <c r="X2" cm="1">
        <f t="array" ref="X2">_xlfn.XLOOKUP(BLP!X1, StatePolicies!$U$2:$BA$2, _xlfn.XLOOKUP(About!$B$2, StatePolicies!$Q$3:$Q$52, StatePolicies!$U$3:$BA$52))</f>
        <v>0</v>
      </c>
      <c r="Y2" cm="1">
        <f t="array" ref="Y2">_xlfn.XLOOKUP(BLP!Y1, StatePolicies!$U$2:$BA$2, _xlfn.XLOOKUP(About!$B$2, StatePolicies!$Q$3:$Q$52, StatePolicies!$U$3:$BA$52))</f>
        <v>0</v>
      </c>
      <c r="Z2" cm="1">
        <f t="array" ref="Z2">_xlfn.XLOOKUP(BLP!Z1, StatePolicies!$U$2:$BA$2, _xlfn.XLOOKUP(About!$B$2, StatePolicies!$Q$3:$Q$52, StatePolicies!$U$3:$BA$52))</f>
        <v>0</v>
      </c>
      <c r="AA2" cm="1">
        <f t="array" ref="AA2">_xlfn.XLOOKUP(BLP!AA1, StatePolicies!$U$2:$BA$2, _xlfn.XLOOKUP(About!$B$2, StatePolicies!$Q$3:$Q$52, StatePolicies!$U$3:$BA$52))</f>
        <v>0</v>
      </c>
      <c r="AB2" cm="1">
        <f t="array" ref="AB2">_xlfn.XLOOKUP(BLP!AB1, StatePolicies!$U$2:$BA$2, _xlfn.XLOOKUP(About!$B$2, StatePolicies!$Q$3:$Q$52, StatePolicies!$U$3:$BA$52))</f>
        <v>0</v>
      </c>
      <c r="AC2" cm="1">
        <f t="array" ref="AC2">_xlfn.XLOOKUP(BLP!AC1, StatePolicies!$U$2:$BA$2, _xlfn.XLOOKUP(About!$B$2, StatePolicies!$Q$3:$Q$52, StatePolicies!$U$3:$BA$52))</f>
        <v>0</v>
      </c>
      <c r="AD2" cm="1">
        <f t="array" ref="AD2">_xlfn.XLOOKUP(BLP!AD1, StatePolicies!$U$2:$BA$2, _xlfn.XLOOKUP(About!$B$2, StatePolicies!$Q$3:$Q$52, StatePolicies!$U$3:$BA$52))</f>
        <v>0</v>
      </c>
      <c r="AE2" cm="1">
        <f t="array" ref="AE2">_xlfn.XLOOKUP(BLP!AE1, StatePolicies!$U$2:$BA$2, _xlfn.XLOOKUP(About!$B$2, StatePolicies!$Q$3:$Q$52, StatePolicies!$U$3:$BA$52))</f>
        <v>0</v>
      </c>
      <c r="AF2" cm="1">
        <f t="array" ref="AF2">_xlfn.XLOOKUP(BLP!AF1, StatePolicies!$U$2:$BA$2, _xlfn.XLOOKUP(About!$B$2, StatePolicies!$Q$3:$Q$52, StatePolicies!$U$3:$BA$52))</f>
        <v>0</v>
      </c>
      <c r="AG2" cm="1">
        <f t="array" ref="AG2">_xlfn.XLOOKUP(BLP!AG1, StatePolicies!$U$2:$BA$2, _xlfn.XLOOKUP(About!$B$2, StatePolicies!$Q$3:$Q$52, StatePolicies!$U$3:$BA$52))</f>
        <v>0</v>
      </c>
      <c r="AH2" cm="1">
        <f t="array" ref="AH2">_xlfn.XLOOKUP(BLP!AH1, StatePolicies!$U$2:$BA$2, _xlfn.XLOOKUP(About!$B$2, StatePolicies!$Q$3:$Q$52, StatePolicies!$U$3:$BA$52))</f>
        <v>0</v>
      </c>
    </row>
    <row r="3" spans="1:34" x14ac:dyDescent="0.2">
      <c r="B3" s="4"/>
      <c r="C3" s="4"/>
      <c r="D3" s="4"/>
      <c r="E3" s="4"/>
      <c r="F3" s="4"/>
    </row>
    <row r="5" spans="1:34" x14ac:dyDescent="0.2">
      <c r="B5" s="3"/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StatePolicies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Addy Sonaike</cp:lastModifiedBy>
  <dcterms:created xsi:type="dcterms:W3CDTF">2017-06-17T02:28:17Z</dcterms:created>
  <dcterms:modified xsi:type="dcterms:W3CDTF">2025-02-11T23:56:45Z</dcterms:modified>
</cp:coreProperties>
</file>