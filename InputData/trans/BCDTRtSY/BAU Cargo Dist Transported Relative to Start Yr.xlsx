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defaultThemeVersion="124226"/>
  <mc:AlternateContent xmlns:mc="http://schemas.openxmlformats.org/markup-compatibility/2006">
    <mc:Choice Requires="x15">
      <x15ac:absPath xmlns:x15ac="http://schemas.microsoft.com/office/spreadsheetml/2010/11/ac" url="C:\Users\OliviaAshmoore\Documents\Github Repos\state-eps-data\LA\trans\BCDTRtSY\"/>
    </mc:Choice>
  </mc:AlternateContent>
  <xr:revisionPtr revIDLastSave="0" documentId="8_{1CF570AF-2878-449F-9AF5-6281D0D49E95}" xr6:coauthVersionLast="47" xr6:coauthVersionMax="47" xr10:uidLastSave="{00000000-0000-0000-0000-000000000000}"/>
  <bookViews>
    <workbookView xWindow="-98" yWindow="-98" windowWidth="21795" windowHeight="12975" activeTab="1" xr2:uid="{CE897B3D-A700-46F1-B02E-51A9599F0808}"/>
  </bookViews>
  <sheets>
    <sheet name="About" sheetId="1" r:id="rId1"/>
    <sheet name="Sources" sheetId="82" r:id="rId2"/>
    <sheet name="source data&gt;" sheetId="66" r:id="rId3"/>
    <sheet name="EPA_Table 3-13" sheetId="57" r:id="rId4"/>
    <sheet name="AEO 2025 Table 7" sheetId="64" r:id="rId5"/>
    <sheet name="AEO 2025 Table 35" sheetId="63" r:id="rId6"/>
    <sheet name="AEO 2025 Table 45" sheetId="74" r:id="rId7"/>
    <sheet name="AEO 2025 Table 46" sheetId="60" r:id="rId8"/>
    <sheet name="AEO 2025 Table 47" sheetId="61" r:id="rId9"/>
    <sheet name="AEO 2025 Table 49" sheetId="62" r:id="rId10"/>
    <sheet name="AEO 2026 Table 7 raw" sheetId="68" r:id="rId11"/>
    <sheet name="AEO 2026 Table 35 raw" sheetId="69" r:id="rId12"/>
    <sheet name="AEO 2026 Table 45" sheetId="73" r:id="rId13"/>
    <sheet name="AEO 2026 Table 46 raw" sheetId="70" r:id="rId14"/>
    <sheet name="AEO 2026 Table 49 raw" sheetId="72" r:id="rId15"/>
    <sheet name="AEO 2026 Table 47" sheetId="75" r:id="rId16"/>
    <sheet name="GHG Inventory" sheetId="58" r:id="rId17"/>
    <sheet name="AEO 2022 Table 36" sheetId="59" r:id="rId18"/>
    <sheet name="calcs&gt;" sheetId="65" r:id="rId19"/>
    <sheet name="calibration multiplier" sheetId="56" r:id="rId20"/>
    <sheet name="About-state-adjustment" sheetId="79" r:id="rId21"/>
    <sheet name="Pop_yearly_lookup" sheetId="78" r:id="rId22"/>
    <sheet name="Cooper_pop_2030_2050" sheetId="77" r:id="rId23"/>
    <sheet name="Census_pop_2020_2025" sheetId="76" r:id="rId24"/>
    <sheet name="US-calcs" sheetId="67" r:id="rId25"/>
    <sheet name="BCDTRtSY-psgr-US" sheetId="23" r:id="rId26"/>
    <sheet name="BCDTRtSY-frgt-US" sheetId="24" r:id="rId27"/>
    <sheet name="BCDTRtSY-state-adjusted" sheetId="80" r:id="rId28"/>
    <sheet name="BCDTRtSY-psgr" sheetId="83" r:id="rId29"/>
    <sheet name="BCDTRtSY-frgt" sheetId="84" r:id="rId30"/>
  </sheets>
  <externalReferences>
    <externalReference r:id="rId31"/>
    <externalReference r:id="rId32"/>
    <externalReference r:id="rId33"/>
  </externalReferences>
  <definedNames>
    <definedName name="Eno_TM" localSheetId="26">'[1]1997  Table 1a Modified'!#REF!</definedName>
    <definedName name="Eno_TM" localSheetId="3">'[2]1997  Table 1a Modified'!#REF!</definedName>
    <definedName name="Eno_TM">'[1]1997  Table 1a Modified'!#REF!</definedName>
    <definedName name="Eno_Tons" localSheetId="26">'[1]1997  Table 1a Modified'!#REF!</definedName>
    <definedName name="Eno_Tons" localSheetId="3">'[2]1997  Table 1a Modified'!#REF!</definedName>
    <definedName name="Eno_Tons">'[1]1997  Table 1a Modified'!#REF!</definedName>
    <definedName name="NTS_YR">[3]About!$B$136</definedName>
    <definedName name="Sum_T2" localSheetId="26">'[1]1997  Table 1a Modified'!#REF!</definedName>
    <definedName name="Sum_T2" localSheetId="3">'[2]1997  Table 1a Modified'!#REF!</definedName>
    <definedName name="Sum_T2">'[1]1997  Table 1a Modified'!#REF!</definedName>
    <definedName name="Sum_TTM" localSheetId="26">'[1]1997  Table 1a Modified'!#REF!</definedName>
    <definedName name="Sum_TTM" localSheetId="3">'[2]1997  Table 1a Modified'!#REF!</definedName>
    <definedName name="Sum_TTM">'[1]1997  Table 1a Modified'!#REF!</definedName>
    <definedName name="ti_tbl_50" localSheetId="26">#REF!</definedName>
    <definedName name="ti_tbl_50" localSheetId="3">#REF!</definedName>
    <definedName name="ti_tbl_50">#REF!</definedName>
    <definedName name="ti_tbl_69" localSheetId="26">#REF!</definedName>
    <definedName name="ti_tbl_69" localSheetId="3">#REF!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67" l="1"/>
  <c r="AD16" i="67"/>
  <c r="AC16" i="67"/>
  <c r="AB16" i="67"/>
  <c r="AA16" i="67"/>
  <c r="Z16" i="67"/>
  <c r="Y16" i="67"/>
  <c r="X16" i="67"/>
  <c r="W16" i="67"/>
  <c r="V16" i="67"/>
  <c r="U16" i="67"/>
  <c r="T16" i="67"/>
  <c r="S16" i="67"/>
  <c r="R16" i="67"/>
  <c r="Q16" i="67"/>
  <c r="P16" i="67"/>
  <c r="O16" i="67"/>
  <c r="N16" i="67"/>
  <c r="M16" i="67"/>
  <c r="L16" i="67"/>
  <c r="K16" i="67"/>
  <c r="J16" i="67"/>
  <c r="I16" i="67"/>
  <c r="H16" i="67"/>
  <c r="G16" i="67"/>
  <c r="F16" i="67"/>
  <c r="E16" i="67"/>
  <c r="AD15" i="67"/>
  <c r="AC15" i="67"/>
  <c r="AB15" i="67"/>
  <c r="AA15" i="67"/>
  <c r="Z15" i="67"/>
  <c r="Y15" i="67"/>
  <c r="X15" i="67"/>
  <c r="W15" i="67"/>
  <c r="V15" i="67"/>
  <c r="U15" i="67"/>
  <c r="T15" i="67"/>
  <c r="S15" i="67"/>
  <c r="R15" i="67"/>
  <c r="Q15" i="67"/>
  <c r="P15" i="67"/>
  <c r="O15" i="67"/>
  <c r="N15" i="67"/>
  <c r="M15" i="67"/>
  <c r="L15" i="67"/>
  <c r="K15" i="67"/>
  <c r="J15" i="67"/>
  <c r="I15" i="67"/>
  <c r="H15" i="67"/>
  <c r="G15" i="67"/>
  <c r="F15" i="67"/>
  <c r="E15" i="67"/>
  <c r="AD14" i="67"/>
  <c r="AC14" i="67"/>
  <c r="AB14" i="67"/>
  <c r="AA14" i="67"/>
  <c r="Z14" i="67"/>
  <c r="Y14" i="67"/>
  <c r="X14" i="67"/>
  <c r="W14" i="67"/>
  <c r="V14" i="67"/>
  <c r="U14" i="67"/>
  <c r="T14" i="67"/>
  <c r="S14" i="67"/>
  <c r="R14" i="67"/>
  <c r="Q14" i="67"/>
  <c r="P14" i="67"/>
  <c r="O14" i="67"/>
  <c r="N14" i="67"/>
  <c r="M14" i="67"/>
  <c r="L14" i="67"/>
  <c r="K14" i="67"/>
  <c r="J14" i="67"/>
  <c r="I14" i="67"/>
  <c r="H14" i="67"/>
  <c r="G14" i="67"/>
  <c r="F14" i="67"/>
  <c r="E14" i="67"/>
  <c r="AD13" i="67"/>
  <c r="AC13" i="67"/>
  <c r="AB13" i="67"/>
  <c r="AA13" i="67"/>
  <c r="Z13" i="67"/>
  <c r="Y13" i="67"/>
  <c r="X13" i="67"/>
  <c r="W13" i="67"/>
  <c r="V13" i="67"/>
  <c r="U13" i="67"/>
  <c r="T13" i="67"/>
  <c r="S13" i="67"/>
  <c r="R13" i="67"/>
  <c r="Q13" i="67"/>
  <c r="P13" i="67"/>
  <c r="O13" i="67"/>
  <c r="N13" i="67"/>
  <c r="M13" i="67"/>
  <c r="L13" i="67"/>
  <c r="K13" i="67"/>
  <c r="J13" i="67"/>
  <c r="I13" i="67"/>
  <c r="H13" i="67"/>
  <c r="G13" i="67"/>
  <c r="F13" i="67"/>
  <c r="E13" i="67"/>
  <c r="AD12" i="67"/>
  <c r="AC12" i="67"/>
  <c r="AB12" i="67"/>
  <c r="AA12" i="67"/>
  <c r="Z12" i="67"/>
  <c r="Y12" i="67"/>
  <c r="X12" i="67"/>
  <c r="W12" i="67"/>
  <c r="V12" i="67"/>
  <c r="U12" i="67"/>
  <c r="T12" i="67"/>
  <c r="S12" i="67"/>
  <c r="R12" i="67"/>
  <c r="Q12" i="67"/>
  <c r="P12" i="67"/>
  <c r="O12" i="67"/>
  <c r="N12" i="67"/>
  <c r="M12" i="67"/>
  <c r="L12" i="67"/>
  <c r="K12" i="67"/>
  <c r="J12" i="67"/>
  <c r="I12" i="67"/>
  <c r="H12" i="67"/>
  <c r="G12" i="67"/>
  <c r="F12" i="67"/>
  <c r="E12" i="67"/>
  <c r="AD7" i="67"/>
  <c r="AC7" i="67"/>
  <c r="AB7" i="67"/>
  <c r="AA7" i="67"/>
  <c r="Z7" i="67"/>
  <c r="Y7" i="67"/>
  <c r="X7" i="67"/>
  <c r="W7" i="67"/>
  <c r="V7" i="67"/>
  <c r="U7" i="67"/>
  <c r="T7" i="67"/>
  <c r="S7" i="67"/>
  <c r="R7" i="67"/>
  <c r="Q7" i="67"/>
  <c r="P7" i="67"/>
  <c r="O7" i="67"/>
  <c r="N7" i="67"/>
  <c r="M7" i="67"/>
  <c r="L7" i="67"/>
  <c r="K7" i="67"/>
  <c r="J7" i="67"/>
  <c r="I7" i="67"/>
  <c r="H7" i="67"/>
  <c r="G7" i="67"/>
  <c r="F7" i="67"/>
  <c r="E7" i="67"/>
  <c r="AD5" i="67"/>
  <c r="AC5" i="67"/>
  <c r="AB5" i="67"/>
  <c r="AA5" i="67"/>
  <c r="Z5" i="67"/>
  <c r="Y5" i="67"/>
  <c r="X5" i="67"/>
  <c r="W5" i="67"/>
  <c r="V5" i="67"/>
  <c r="U5" i="67"/>
  <c r="T5" i="67"/>
  <c r="S5" i="67"/>
  <c r="R5" i="67"/>
  <c r="Q5" i="67"/>
  <c r="P5" i="67"/>
  <c r="O5" i="67"/>
  <c r="N5" i="67"/>
  <c r="M5" i="67"/>
  <c r="L5" i="67"/>
  <c r="K5" i="67"/>
  <c r="J5" i="67"/>
  <c r="I5" i="67"/>
  <c r="H5" i="67"/>
  <c r="G5" i="67"/>
  <c r="F5" i="67"/>
  <c r="E5" i="67"/>
  <c r="AD4" i="67"/>
  <c r="AC4" i="67"/>
  <c r="AB4" i="67"/>
  <c r="AA4" i="67"/>
  <c r="Z4" i="67"/>
  <c r="Y4" i="67"/>
  <c r="X4" i="67"/>
  <c r="W4" i="67"/>
  <c r="V4" i="67"/>
  <c r="U4" i="67"/>
  <c r="T4" i="67"/>
  <c r="S4" i="67"/>
  <c r="R4" i="67"/>
  <c r="Q4" i="67"/>
  <c r="P4" i="67"/>
  <c r="O4" i="67"/>
  <c r="N4" i="67"/>
  <c r="M4" i="67"/>
  <c r="L4" i="67"/>
  <c r="K4" i="67"/>
  <c r="J4" i="67"/>
  <c r="I4" i="67"/>
  <c r="H4" i="67"/>
  <c r="G4" i="67"/>
  <c r="F4" i="67"/>
  <c r="E4" i="67"/>
  <c r="AD3" i="67"/>
  <c r="AC3" i="67"/>
  <c r="AB3" i="67"/>
  <c r="AA3" i="67"/>
  <c r="Z3" i="67"/>
  <c r="Y3" i="67"/>
  <c r="X3" i="67"/>
  <c r="W3" i="67"/>
  <c r="V3" i="67"/>
  <c r="U3" i="67"/>
  <c r="T3" i="67"/>
  <c r="S3" i="67"/>
  <c r="R3" i="67"/>
  <c r="Q3" i="67"/>
  <c r="P3" i="67"/>
  <c r="O3" i="67"/>
  <c r="N3" i="67"/>
  <c r="M3" i="67"/>
  <c r="L3" i="67"/>
  <c r="K3" i="67"/>
  <c r="J3" i="67"/>
  <c r="I3" i="67"/>
  <c r="H3" i="67"/>
  <c r="G3" i="67"/>
  <c r="F3" i="67"/>
  <c r="E3" i="67"/>
  <c r="B2" i="1"/>
  <c r="B2" i="80" l="1"/>
  <c r="B51" i="78"/>
  <c r="C51" i="78"/>
  <c r="D51" i="78"/>
  <c r="E51" i="78"/>
  <c r="F51" i="78"/>
  <c r="G51" i="78"/>
  <c r="H51" i="78"/>
  <c r="I51" i="78"/>
  <c r="J51" i="78"/>
  <c r="K51" i="78"/>
  <c r="L51" i="78"/>
  <c r="M51" i="78"/>
  <c r="N51" i="78"/>
  <c r="O51" i="78"/>
  <c r="P51" i="78"/>
  <c r="Q51" i="78"/>
  <c r="R51" i="78"/>
  <c r="S51" i="78"/>
  <c r="T51" i="78"/>
  <c r="U51" i="78"/>
  <c r="V51" i="78"/>
  <c r="W51" i="78"/>
  <c r="X51" i="78"/>
  <c r="Y51" i="78"/>
  <c r="Z51" i="78"/>
  <c r="AA51" i="78"/>
  <c r="AB51" i="78"/>
  <c r="B50" i="78"/>
  <c r="C50" i="78"/>
  <c r="D50" i="78"/>
  <c r="E50" i="78"/>
  <c r="F50" i="78"/>
  <c r="G50" i="78"/>
  <c r="H50" i="78"/>
  <c r="I50" i="78"/>
  <c r="J50" i="78"/>
  <c r="K50" i="78"/>
  <c r="L50" i="78"/>
  <c r="M50" i="78"/>
  <c r="N50" i="78"/>
  <c r="O50" i="78"/>
  <c r="P50" i="78"/>
  <c r="Q50" i="78"/>
  <c r="R50" i="78"/>
  <c r="S50" i="78"/>
  <c r="T50" i="78"/>
  <c r="U50" i="78"/>
  <c r="V50" i="78"/>
  <c r="W50" i="78"/>
  <c r="X50" i="78"/>
  <c r="Y50" i="78"/>
  <c r="Z50" i="78"/>
  <c r="AA50" i="78"/>
  <c r="AB50" i="78"/>
  <c r="B49" i="78"/>
  <c r="C49" i="78"/>
  <c r="D49" i="78"/>
  <c r="E49" i="78"/>
  <c r="F49" i="78"/>
  <c r="G49" i="78"/>
  <c r="H49" i="78"/>
  <c r="I49" i="78"/>
  <c r="J49" i="78"/>
  <c r="K49" i="78"/>
  <c r="L49" i="78"/>
  <c r="M49" i="78"/>
  <c r="N49" i="78"/>
  <c r="O49" i="78"/>
  <c r="P49" i="78"/>
  <c r="Q49" i="78"/>
  <c r="R49" i="78"/>
  <c r="S49" i="78"/>
  <c r="T49" i="78"/>
  <c r="U49" i="78"/>
  <c r="V49" i="78"/>
  <c r="W49" i="78"/>
  <c r="X49" i="78"/>
  <c r="Y49" i="78"/>
  <c r="Z49" i="78"/>
  <c r="AA49" i="78"/>
  <c r="AB49" i="78"/>
  <c r="B48" i="78"/>
  <c r="C48" i="78"/>
  <c r="D48" i="78"/>
  <c r="E48" i="78"/>
  <c r="F48" i="78"/>
  <c r="G48" i="78"/>
  <c r="H48" i="78"/>
  <c r="I48" i="78"/>
  <c r="J48" i="78"/>
  <c r="K48" i="78"/>
  <c r="L48" i="78"/>
  <c r="M48" i="78"/>
  <c r="N48" i="78"/>
  <c r="O48" i="78"/>
  <c r="P48" i="78"/>
  <c r="Q48" i="78"/>
  <c r="R48" i="78"/>
  <c r="S48" i="78"/>
  <c r="T48" i="78"/>
  <c r="U48" i="78"/>
  <c r="V48" i="78"/>
  <c r="W48" i="78"/>
  <c r="X48" i="78"/>
  <c r="Y48" i="78"/>
  <c r="Z48" i="78"/>
  <c r="AA48" i="78"/>
  <c r="AB48" i="78"/>
  <c r="B47" i="78"/>
  <c r="C47" i="78"/>
  <c r="D47" i="78"/>
  <c r="E47" i="78"/>
  <c r="F47" i="78"/>
  <c r="G47" i="78"/>
  <c r="H47" i="78"/>
  <c r="I47" i="78"/>
  <c r="J47" i="78"/>
  <c r="K47" i="78"/>
  <c r="L47" i="78"/>
  <c r="M47" i="78"/>
  <c r="N47" i="78"/>
  <c r="O47" i="78"/>
  <c r="P47" i="78"/>
  <c r="Q47" i="78"/>
  <c r="R47" i="78"/>
  <c r="S47" i="78"/>
  <c r="T47" i="78"/>
  <c r="U47" i="78"/>
  <c r="V47" i="78"/>
  <c r="W47" i="78"/>
  <c r="X47" i="78"/>
  <c r="Y47" i="78"/>
  <c r="Z47" i="78"/>
  <c r="AA47" i="78"/>
  <c r="AB47" i="78"/>
  <c r="B46" i="78"/>
  <c r="C46" i="78"/>
  <c r="D46" i="78"/>
  <c r="E46" i="78"/>
  <c r="F46" i="78"/>
  <c r="G46" i="78"/>
  <c r="H46" i="78"/>
  <c r="I46" i="78"/>
  <c r="J46" i="78"/>
  <c r="K46" i="78"/>
  <c r="L46" i="78"/>
  <c r="M46" i="78"/>
  <c r="N46" i="78"/>
  <c r="O46" i="78"/>
  <c r="P46" i="78"/>
  <c r="Q46" i="78"/>
  <c r="R46" i="78"/>
  <c r="S46" i="78"/>
  <c r="T46" i="78"/>
  <c r="U46" i="78"/>
  <c r="V46" i="78"/>
  <c r="W46" i="78"/>
  <c r="X46" i="78"/>
  <c r="Y46" i="78"/>
  <c r="Z46" i="78"/>
  <c r="AA46" i="78"/>
  <c r="AB46" i="78"/>
  <c r="B45" i="78"/>
  <c r="C45" i="78"/>
  <c r="D45" i="78"/>
  <c r="E45" i="78"/>
  <c r="F45" i="78"/>
  <c r="G45" i="78"/>
  <c r="H45" i="78"/>
  <c r="I45" i="78"/>
  <c r="J45" i="78"/>
  <c r="K45" i="78"/>
  <c r="L45" i="78"/>
  <c r="M45" i="78"/>
  <c r="N45" i="78"/>
  <c r="O45" i="78"/>
  <c r="P45" i="78"/>
  <c r="Q45" i="78"/>
  <c r="R45" i="78"/>
  <c r="S45" i="78"/>
  <c r="T45" i="78"/>
  <c r="U45" i="78"/>
  <c r="V45" i="78"/>
  <c r="W45" i="78"/>
  <c r="X45" i="78"/>
  <c r="Y45" i="78"/>
  <c r="Z45" i="78"/>
  <c r="AA45" i="78"/>
  <c r="AB45" i="78"/>
  <c r="B44" i="78"/>
  <c r="C44" i="78"/>
  <c r="D44" i="78"/>
  <c r="E44" i="78"/>
  <c r="F44" i="78"/>
  <c r="G44" i="78"/>
  <c r="H44" i="78"/>
  <c r="I44" i="78"/>
  <c r="J44" i="78"/>
  <c r="K44" i="78"/>
  <c r="L44" i="78"/>
  <c r="M44" i="78"/>
  <c r="N44" i="78"/>
  <c r="O44" i="78"/>
  <c r="P44" i="78"/>
  <c r="Q44" i="78"/>
  <c r="R44" i="78"/>
  <c r="S44" i="78"/>
  <c r="T44" i="78"/>
  <c r="U44" i="78"/>
  <c r="V44" i="78"/>
  <c r="W44" i="78"/>
  <c r="X44" i="78"/>
  <c r="Y44" i="78"/>
  <c r="Z44" i="78"/>
  <c r="AA44" i="78"/>
  <c r="AB44" i="78"/>
  <c r="B43" i="78"/>
  <c r="C43" i="78"/>
  <c r="D43" i="78"/>
  <c r="E43" i="78"/>
  <c r="F43" i="78"/>
  <c r="G43" i="78"/>
  <c r="H43" i="78"/>
  <c r="I43" i="78"/>
  <c r="J43" i="78"/>
  <c r="K43" i="78"/>
  <c r="L43" i="78"/>
  <c r="M43" i="78"/>
  <c r="N43" i="78"/>
  <c r="O43" i="78"/>
  <c r="P43" i="78"/>
  <c r="Q43" i="78"/>
  <c r="R43" i="78"/>
  <c r="S43" i="78"/>
  <c r="T43" i="78"/>
  <c r="U43" i="78"/>
  <c r="V43" i="78"/>
  <c r="W43" i="78"/>
  <c r="X43" i="78"/>
  <c r="Y43" i="78"/>
  <c r="Z43" i="78"/>
  <c r="AA43" i="78"/>
  <c r="AB43" i="78"/>
  <c r="B42" i="78"/>
  <c r="C42" i="78"/>
  <c r="D42" i="78"/>
  <c r="E42" i="78"/>
  <c r="F42" i="78"/>
  <c r="G42" i="78"/>
  <c r="H42" i="78"/>
  <c r="I42" i="78"/>
  <c r="J42" i="78"/>
  <c r="K42" i="78"/>
  <c r="L42" i="78"/>
  <c r="M42" i="78"/>
  <c r="N42" i="78"/>
  <c r="O42" i="78"/>
  <c r="P42" i="78"/>
  <c r="Q42" i="78"/>
  <c r="R42" i="78"/>
  <c r="S42" i="78"/>
  <c r="T42" i="78"/>
  <c r="U42" i="78"/>
  <c r="V42" i="78"/>
  <c r="W42" i="78"/>
  <c r="X42" i="78"/>
  <c r="Y42" i="78"/>
  <c r="Z42" i="78"/>
  <c r="AA42" i="78"/>
  <c r="AB42" i="78"/>
  <c r="B41" i="78"/>
  <c r="C41" i="78"/>
  <c r="D41" i="78"/>
  <c r="E41" i="78"/>
  <c r="F41" i="78"/>
  <c r="G41" i="78"/>
  <c r="H41" i="78"/>
  <c r="I41" i="78"/>
  <c r="J41" i="78"/>
  <c r="K41" i="78"/>
  <c r="L41" i="78"/>
  <c r="M41" i="78"/>
  <c r="N41" i="78"/>
  <c r="O41" i="78"/>
  <c r="P41" i="78"/>
  <c r="Q41" i="78"/>
  <c r="R41" i="78"/>
  <c r="S41" i="78"/>
  <c r="T41" i="78"/>
  <c r="U41" i="78"/>
  <c r="V41" i="78"/>
  <c r="W41" i="78"/>
  <c r="X41" i="78"/>
  <c r="Y41" i="78"/>
  <c r="Z41" i="78"/>
  <c r="AA41" i="78"/>
  <c r="AB41" i="78"/>
  <c r="B40" i="78"/>
  <c r="C40" i="78"/>
  <c r="D40" i="78"/>
  <c r="E40" i="78"/>
  <c r="F40" i="78"/>
  <c r="G40" i="78"/>
  <c r="H40" i="78"/>
  <c r="I40" i="78"/>
  <c r="J40" i="78"/>
  <c r="K40" i="78"/>
  <c r="L40" i="78"/>
  <c r="M40" i="78"/>
  <c r="N40" i="78"/>
  <c r="O40" i="78"/>
  <c r="P40" i="78"/>
  <c r="Q40" i="78"/>
  <c r="R40" i="78"/>
  <c r="S40" i="78"/>
  <c r="T40" i="78"/>
  <c r="U40" i="78"/>
  <c r="V40" i="78"/>
  <c r="W40" i="78"/>
  <c r="X40" i="78"/>
  <c r="Y40" i="78"/>
  <c r="Z40" i="78"/>
  <c r="AA40" i="78"/>
  <c r="AB40" i="78"/>
  <c r="B39" i="78"/>
  <c r="C39" i="78"/>
  <c r="D39" i="78"/>
  <c r="E39" i="78"/>
  <c r="F39" i="78"/>
  <c r="G39" i="78"/>
  <c r="H39" i="78"/>
  <c r="I39" i="78"/>
  <c r="J39" i="78"/>
  <c r="K39" i="78"/>
  <c r="L39" i="78"/>
  <c r="M39" i="78"/>
  <c r="N39" i="78"/>
  <c r="O39" i="78"/>
  <c r="P39" i="78"/>
  <c r="Q39" i="78"/>
  <c r="R39" i="78"/>
  <c r="S39" i="78"/>
  <c r="T39" i="78"/>
  <c r="U39" i="78"/>
  <c r="V39" i="78"/>
  <c r="W39" i="78"/>
  <c r="X39" i="78"/>
  <c r="Y39" i="78"/>
  <c r="Z39" i="78"/>
  <c r="AA39" i="78"/>
  <c r="AB39" i="78"/>
  <c r="B38" i="78"/>
  <c r="C38" i="78"/>
  <c r="D38" i="78"/>
  <c r="E38" i="78"/>
  <c r="F38" i="78"/>
  <c r="G38" i="78"/>
  <c r="H38" i="78"/>
  <c r="I38" i="78"/>
  <c r="J38" i="78"/>
  <c r="K38" i="78"/>
  <c r="L38" i="78"/>
  <c r="M38" i="78"/>
  <c r="N38" i="78"/>
  <c r="O38" i="78"/>
  <c r="P38" i="78"/>
  <c r="Q38" i="78"/>
  <c r="R38" i="78"/>
  <c r="S38" i="78"/>
  <c r="T38" i="78"/>
  <c r="U38" i="78"/>
  <c r="V38" i="78"/>
  <c r="W38" i="78"/>
  <c r="X38" i="78"/>
  <c r="Y38" i="78"/>
  <c r="Z38" i="78"/>
  <c r="AA38" i="78"/>
  <c r="AB38" i="78"/>
  <c r="B37" i="78"/>
  <c r="C37" i="78"/>
  <c r="D37" i="78"/>
  <c r="E37" i="78"/>
  <c r="F37" i="78"/>
  <c r="G37" i="78"/>
  <c r="H37" i="78"/>
  <c r="I37" i="78"/>
  <c r="J37" i="78"/>
  <c r="K37" i="78"/>
  <c r="L37" i="78"/>
  <c r="M37" i="78"/>
  <c r="N37" i="78"/>
  <c r="O37" i="78"/>
  <c r="P37" i="78"/>
  <c r="Q37" i="78"/>
  <c r="R37" i="78"/>
  <c r="S37" i="78"/>
  <c r="T37" i="78"/>
  <c r="U37" i="78"/>
  <c r="V37" i="78"/>
  <c r="W37" i="78"/>
  <c r="X37" i="78"/>
  <c r="Y37" i="78"/>
  <c r="Z37" i="78"/>
  <c r="AA37" i="78"/>
  <c r="AB37" i="78"/>
  <c r="B36" i="78"/>
  <c r="C36" i="78"/>
  <c r="D36" i="78"/>
  <c r="E36" i="78"/>
  <c r="F36" i="78"/>
  <c r="G36" i="78"/>
  <c r="H36" i="78"/>
  <c r="I36" i="78"/>
  <c r="J36" i="78"/>
  <c r="K36" i="78"/>
  <c r="L36" i="78"/>
  <c r="M36" i="78"/>
  <c r="N36" i="78"/>
  <c r="O36" i="78"/>
  <c r="P36" i="78"/>
  <c r="Q36" i="78"/>
  <c r="R36" i="78"/>
  <c r="S36" i="78"/>
  <c r="T36" i="78"/>
  <c r="U36" i="78"/>
  <c r="V36" i="78"/>
  <c r="W36" i="78"/>
  <c r="X36" i="78"/>
  <c r="Y36" i="78"/>
  <c r="Z36" i="78"/>
  <c r="AA36" i="78"/>
  <c r="AB36" i="78"/>
  <c r="B35" i="78"/>
  <c r="C35" i="78"/>
  <c r="D35" i="78"/>
  <c r="E35" i="78"/>
  <c r="F35" i="78"/>
  <c r="G35" i="78"/>
  <c r="H35" i="78"/>
  <c r="I35" i="78"/>
  <c r="J35" i="78"/>
  <c r="K35" i="78"/>
  <c r="L35" i="78"/>
  <c r="M35" i="78"/>
  <c r="N35" i="78"/>
  <c r="O35" i="78"/>
  <c r="P35" i="78"/>
  <c r="Q35" i="78"/>
  <c r="R35" i="78"/>
  <c r="S35" i="78"/>
  <c r="T35" i="78"/>
  <c r="U35" i="78"/>
  <c r="V35" i="78"/>
  <c r="W35" i="78"/>
  <c r="X35" i="78"/>
  <c r="Y35" i="78"/>
  <c r="Z35" i="78"/>
  <c r="AA35" i="78"/>
  <c r="AB35" i="78"/>
  <c r="B34" i="78"/>
  <c r="C34" i="78"/>
  <c r="D34" i="78"/>
  <c r="E34" i="78"/>
  <c r="F34" i="78"/>
  <c r="G34" i="78"/>
  <c r="H34" i="78"/>
  <c r="I34" i="78"/>
  <c r="J34" i="78"/>
  <c r="K34" i="78"/>
  <c r="L34" i="78"/>
  <c r="M34" i="78"/>
  <c r="N34" i="78"/>
  <c r="O34" i="78"/>
  <c r="P34" i="78"/>
  <c r="Q34" i="78"/>
  <c r="R34" i="78"/>
  <c r="S34" i="78"/>
  <c r="T34" i="78"/>
  <c r="U34" i="78"/>
  <c r="V34" i="78"/>
  <c r="W34" i="78"/>
  <c r="X34" i="78"/>
  <c r="Y34" i="78"/>
  <c r="Z34" i="78"/>
  <c r="AA34" i="78"/>
  <c r="AB34" i="78"/>
  <c r="B33" i="78"/>
  <c r="C33" i="78"/>
  <c r="D33" i="78"/>
  <c r="E33" i="78"/>
  <c r="F33" i="78"/>
  <c r="G33" i="78"/>
  <c r="H33" i="78"/>
  <c r="I33" i="78"/>
  <c r="J33" i="78"/>
  <c r="K33" i="78"/>
  <c r="L33" i="78"/>
  <c r="M33" i="78"/>
  <c r="N33" i="78"/>
  <c r="O33" i="78"/>
  <c r="P33" i="78"/>
  <c r="Q33" i="78"/>
  <c r="R33" i="78"/>
  <c r="S33" i="78"/>
  <c r="T33" i="78"/>
  <c r="U33" i="78"/>
  <c r="V33" i="78"/>
  <c r="W33" i="78"/>
  <c r="X33" i="78"/>
  <c r="Y33" i="78"/>
  <c r="Z33" i="78"/>
  <c r="AA33" i="78"/>
  <c r="AB33" i="78"/>
  <c r="B32" i="78"/>
  <c r="C32" i="78"/>
  <c r="D32" i="78"/>
  <c r="E32" i="78"/>
  <c r="F32" i="78"/>
  <c r="G32" i="78"/>
  <c r="H32" i="78"/>
  <c r="I32" i="78"/>
  <c r="J32" i="78"/>
  <c r="K32" i="78"/>
  <c r="L32" i="78"/>
  <c r="M32" i="78"/>
  <c r="N32" i="78"/>
  <c r="O32" i="78"/>
  <c r="P32" i="78"/>
  <c r="Q32" i="78"/>
  <c r="R32" i="78"/>
  <c r="S32" i="78"/>
  <c r="T32" i="78"/>
  <c r="U32" i="78"/>
  <c r="V32" i="78"/>
  <c r="W32" i="78"/>
  <c r="X32" i="78"/>
  <c r="Y32" i="78"/>
  <c r="Z32" i="78"/>
  <c r="AA32" i="78"/>
  <c r="AB32" i="78"/>
  <c r="B31" i="78"/>
  <c r="C31" i="78"/>
  <c r="D31" i="78"/>
  <c r="E31" i="78"/>
  <c r="F31" i="78"/>
  <c r="G31" i="78"/>
  <c r="H31" i="78"/>
  <c r="I31" i="78"/>
  <c r="J31" i="78"/>
  <c r="K31" i="78"/>
  <c r="L31" i="78"/>
  <c r="M31" i="78"/>
  <c r="N31" i="78"/>
  <c r="O31" i="78"/>
  <c r="P31" i="78"/>
  <c r="Q31" i="78"/>
  <c r="R31" i="78"/>
  <c r="S31" i="78"/>
  <c r="T31" i="78"/>
  <c r="U31" i="78"/>
  <c r="V31" i="78"/>
  <c r="W31" i="78"/>
  <c r="X31" i="78"/>
  <c r="Y31" i="78"/>
  <c r="Z31" i="78"/>
  <c r="AA31" i="78"/>
  <c r="AB31" i="78"/>
  <c r="B30" i="78"/>
  <c r="C30" i="78"/>
  <c r="D30" i="78"/>
  <c r="E30" i="78"/>
  <c r="F30" i="78"/>
  <c r="G30" i="78"/>
  <c r="H30" i="78"/>
  <c r="I30" i="78"/>
  <c r="J30" i="78"/>
  <c r="K30" i="78"/>
  <c r="L30" i="78"/>
  <c r="M30" i="78"/>
  <c r="N30" i="78"/>
  <c r="O30" i="78"/>
  <c r="P30" i="78"/>
  <c r="Q30" i="78"/>
  <c r="R30" i="78"/>
  <c r="S30" i="78"/>
  <c r="T30" i="78"/>
  <c r="U30" i="78"/>
  <c r="V30" i="78"/>
  <c r="W30" i="78"/>
  <c r="X30" i="78"/>
  <c r="Y30" i="78"/>
  <c r="Z30" i="78"/>
  <c r="AA30" i="78"/>
  <c r="AB30" i="78"/>
  <c r="B29" i="78"/>
  <c r="C29" i="78"/>
  <c r="D29" i="78"/>
  <c r="E29" i="78"/>
  <c r="F29" i="78"/>
  <c r="G29" i="78"/>
  <c r="H29" i="78"/>
  <c r="I29" i="78"/>
  <c r="J29" i="78"/>
  <c r="K29" i="78"/>
  <c r="L29" i="78"/>
  <c r="M29" i="78"/>
  <c r="N29" i="78"/>
  <c r="O29" i="78"/>
  <c r="P29" i="78"/>
  <c r="Q29" i="78"/>
  <c r="R29" i="78"/>
  <c r="S29" i="78"/>
  <c r="T29" i="78"/>
  <c r="U29" i="78"/>
  <c r="V29" i="78"/>
  <c r="W29" i="78"/>
  <c r="X29" i="78"/>
  <c r="Y29" i="78"/>
  <c r="Z29" i="78"/>
  <c r="AA29" i="78"/>
  <c r="AB29" i="78"/>
  <c r="B28" i="78"/>
  <c r="C28" i="78"/>
  <c r="D28" i="78"/>
  <c r="E28" i="78"/>
  <c r="F28" i="78"/>
  <c r="G28" i="78"/>
  <c r="H28" i="78"/>
  <c r="I28" i="78"/>
  <c r="J28" i="78"/>
  <c r="K28" i="78"/>
  <c r="L28" i="78"/>
  <c r="M28" i="78"/>
  <c r="N28" i="78"/>
  <c r="O28" i="78"/>
  <c r="P28" i="78"/>
  <c r="Q28" i="78"/>
  <c r="R28" i="78"/>
  <c r="S28" i="78"/>
  <c r="T28" i="78"/>
  <c r="U28" i="78"/>
  <c r="V28" i="78"/>
  <c r="W28" i="78"/>
  <c r="X28" i="78"/>
  <c r="Y28" i="78"/>
  <c r="Z28" i="78"/>
  <c r="AA28" i="78"/>
  <c r="AB28" i="78"/>
  <c r="B27" i="78"/>
  <c r="C27" i="78"/>
  <c r="D27" i="78"/>
  <c r="E27" i="78"/>
  <c r="F27" i="78"/>
  <c r="G27" i="78"/>
  <c r="H27" i="78"/>
  <c r="I27" i="78"/>
  <c r="J27" i="78"/>
  <c r="K27" i="78"/>
  <c r="L27" i="78"/>
  <c r="M27" i="78"/>
  <c r="N27" i="78"/>
  <c r="O27" i="78"/>
  <c r="P27" i="78"/>
  <c r="Q27" i="78"/>
  <c r="R27" i="78"/>
  <c r="S27" i="78"/>
  <c r="T27" i="78"/>
  <c r="U27" i="78"/>
  <c r="V27" i="78"/>
  <c r="W27" i="78"/>
  <c r="X27" i="78"/>
  <c r="Y27" i="78"/>
  <c r="Z27" i="78"/>
  <c r="AA27" i="78"/>
  <c r="AB27" i="78"/>
  <c r="B26" i="78"/>
  <c r="C26" i="78"/>
  <c r="D26" i="78"/>
  <c r="E26" i="78"/>
  <c r="F26" i="78"/>
  <c r="G26" i="78"/>
  <c r="H26" i="78"/>
  <c r="I26" i="78"/>
  <c r="J26" i="78"/>
  <c r="K26" i="78"/>
  <c r="L26" i="78"/>
  <c r="M26" i="78"/>
  <c r="N26" i="78"/>
  <c r="O26" i="78"/>
  <c r="P26" i="78"/>
  <c r="Q26" i="78"/>
  <c r="R26" i="78"/>
  <c r="S26" i="78"/>
  <c r="T26" i="78"/>
  <c r="U26" i="78"/>
  <c r="V26" i="78"/>
  <c r="W26" i="78"/>
  <c r="X26" i="78"/>
  <c r="Y26" i="78"/>
  <c r="Z26" i="78"/>
  <c r="AA26" i="78"/>
  <c r="AB26" i="78"/>
  <c r="B25" i="78"/>
  <c r="C25" i="78"/>
  <c r="D25" i="78"/>
  <c r="E25" i="78"/>
  <c r="F25" i="78"/>
  <c r="G25" i="78"/>
  <c r="H25" i="78"/>
  <c r="I25" i="78"/>
  <c r="J25" i="78"/>
  <c r="K25" i="78"/>
  <c r="L25" i="78"/>
  <c r="M25" i="78"/>
  <c r="N25" i="78"/>
  <c r="O25" i="78"/>
  <c r="P25" i="78"/>
  <c r="Q25" i="78"/>
  <c r="R25" i="78"/>
  <c r="S25" i="78"/>
  <c r="T25" i="78"/>
  <c r="U25" i="78"/>
  <c r="V25" i="78"/>
  <c r="W25" i="78"/>
  <c r="X25" i="78"/>
  <c r="Y25" i="78"/>
  <c r="Z25" i="78"/>
  <c r="AA25" i="78"/>
  <c r="AB25" i="78"/>
  <c r="B24" i="78"/>
  <c r="C24" i="78"/>
  <c r="D24" i="78"/>
  <c r="E24" i="78"/>
  <c r="F24" i="78"/>
  <c r="G24" i="78"/>
  <c r="H24" i="78"/>
  <c r="I24" i="78"/>
  <c r="J24" i="78"/>
  <c r="K24" i="78"/>
  <c r="L24" i="78"/>
  <c r="M24" i="78"/>
  <c r="N24" i="78"/>
  <c r="O24" i="78"/>
  <c r="P24" i="78"/>
  <c r="Q24" i="78"/>
  <c r="R24" i="78"/>
  <c r="S24" i="78"/>
  <c r="T24" i="78"/>
  <c r="U24" i="78"/>
  <c r="V24" i="78"/>
  <c r="W24" i="78"/>
  <c r="X24" i="78"/>
  <c r="Y24" i="78"/>
  <c r="Z24" i="78"/>
  <c r="AA24" i="78"/>
  <c r="AB24" i="78"/>
  <c r="B23" i="78"/>
  <c r="C23" i="78"/>
  <c r="D23" i="78"/>
  <c r="E23" i="78"/>
  <c r="F23" i="78"/>
  <c r="G23" i="78"/>
  <c r="H23" i="78"/>
  <c r="I23" i="78"/>
  <c r="J23" i="78"/>
  <c r="K23" i="78"/>
  <c r="L23" i="78"/>
  <c r="M23" i="78"/>
  <c r="N23" i="78"/>
  <c r="O23" i="78"/>
  <c r="P23" i="78"/>
  <c r="Q23" i="78"/>
  <c r="R23" i="78"/>
  <c r="S23" i="78"/>
  <c r="T23" i="78"/>
  <c r="U23" i="78"/>
  <c r="V23" i="78"/>
  <c r="W23" i="78"/>
  <c r="X23" i="78"/>
  <c r="Y23" i="78"/>
  <c r="Z23" i="78"/>
  <c r="AA23" i="78"/>
  <c r="AB23" i="78"/>
  <c r="B22" i="78"/>
  <c r="C22" i="78"/>
  <c r="D22" i="78"/>
  <c r="E22" i="78"/>
  <c r="F22" i="78"/>
  <c r="G22" i="78"/>
  <c r="H22" i="78"/>
  <c r="I22" i="78"/>
  <c r="J22" i="78"/>
  <c r="K22" i="78"/>
  <c r="L22" i="78"/>
  <c r="M22" i="78"/>
  <c r="N22" i="78"/>
  <c r="O22" i="78"/>
  <c r="P22" i="78"/>
  <c r="Q22" i="78"/>
  <c r="R22" i="78"/>
  <c r="S22" i="78"/>
  <c r="T22" i="78"/>
  <c r="U22" i="78"/>
  <c r="V22" i="78"/>
  <c r="W22" i="78"/>
  <c r="X22" i="78"/>
  <c r="Y22" i="78"/>
  <c r="Z22" i="78"/>
  <c r="AA22" i="78"/>
  <c r="AB22" i="78"/>
  <c r="B21" i="78"/>
  <c r="C21" i="78"/>
  <c r="D21" i="78"/>
  <c r="E21" i="78"/>
  <c r="F21" i="78"/>
  <c r="G21" i="78"/>
  <c r="H21" i="78"/>
  <c r="I21" i="78"/>
  <c r="J21" i="78"/>
  <c r="K21" i="78"/>
  <c r="L21" i="78"/>
  <c r="M21" i="78"/>
  <c r="N21" i="78"/>
  <c r="O21" i="78"/>
  <c r="P21" i="78"/>
  <c r="Q21" i="78"/>
  <c r="R21" i="78"/>
  <c r="S21" i="78"/>
  <c r="T21" i="78"/>
  <c r="U21" i="78"/>
  <c r="V21" i="78"/>
  <c r="W21" i="78"/>
  <c r="X21" i="78"/>
  <c r="Y21" i="78"/>
  <c r="Z21" i="78"/>
  <c r="AA21" i="78"/>
  <c r="AB21" i="78"/>
  <c r="B20" i="78"/>
  <c r="C20" i="78"/>
  <c r="D20" i="78"/>
  <c r="E20" i="78"/>
  <c r="F20" i="78"/>
  <c r="G20" i="78"/>
  <c r="H20" i="78"/>
  <c r="I20" i="78"/>
  <c r="J20" i="78"/>
  <c r="K20" i="78"/>
  <c r="L20" i="78"/>
  <c r="M20" i="78"/>
  <c r="N20" i="78"/>
  <c r="O20" i="78"/>
  <c r="P20" i="78"/>
  <c r="Q20" i="78"/>
  <c r="R20" i="78"/>
  <c r="S20" i="78"/>
  <c r="T20" i="78"/>
  <c r="U20" i="78"/>
  <c r="V20" i="78"/>
  <c r="W20" i="78"/>
  <c r="X20" i="78"/>
  <c r="Y20" i="78"/>
  <c r="Z20" i="78"/>
  <c r="AA20" i="78"/>
  <c r="AB20" i="78"/>
  <c r="B19" i="78"/>
  <c r="C19" i="78"/>
  <c r="D19" i="78"/>
  <c r="E19" i="78"/>
  <c r="F19" i="78"/>
  <c r="G19" i="78"/>
  <c r="H19" i="78"/>
  <c r="I19" i="78"/>
  <c r="J19" i="78"/>
  <c r="K19" i="78"/>
  <c r="L19" i="78"/>
  <c r="M19" i="78"/>
  <c r="N19" i="78"/>
  <c r="O19" i="78"/>
  <c r="P19" i="78"/>
  <c r="Q19" i="78"/>
  <c r="R19" i="78"/>
  <c r="S19" i="78"/>
  <c r="T19" i="78"/>
  <c r="U19" i="78"/>
  <c r="V19" i="78"/>
  <c r="W19" i="78"/>
  <c r="X19" i="78"/>
  <c r="Y19" i="78"/>
  <c r="Z19" i="78"/>
  <c r="AA19" i="78"/>
  <c r="AB19" i="78"/>
  <c r="B18" i="78"/>
  <c r="C18" i="78"/>
  <c r="D18" i="78"/>
  <c r="E18" i="78"/>
  <c r="F18" i="78"/>
  <c r="G18" i="78"/>
  <c r="H18" i="78"/>
  <c r="I18" i="78"/>
  <c r="J18" i="78"/>
  <c r="K18" i="78"/>
  <c r="L18" i="78"/>
  <c r="M18" i="78"/>
  <c r="N18" i="78"/>
  <c r="O18" i="78"/>
  <c r="P18" i="78"/>
  <c r="Q18" i="78"/>
  <c r="R18" i="78"/>
  <c r="S18" i="78"/>
  <c r="T18" i="78"/>
  <c r="U18" i="78"/>
  <c r="V18" i="78"/>
  <c r="W18" i="78"/>
  <c r="X18" i="78"/>
  <c r="Y18" i="78"/>
  <c r="Z18" i="78"/>
  <c r="AA18" i="78"/>
  <c r="AB18" i="78"/>
  <c r="B17" i="78"/>
  <c r="C17" i="78"/>
  <c r="D17" i="78"/>
  <c r="E17" i="78"/>
  <c r="F17" i="78"/>
  <c r="G17" i="78"/>
  <c r="H17" i="78"/>
  <c r="I17" i="78"/>
  <c r="J17" i="78"/>
  <c r="K17" i="78"/>
  <c r="L17" i="78"/>
  <c r="M17" i="78"/>
  <c r="N17" i="78"/>
  <c r="O17" i="78"/>
  <c r="P17" i="78"/>
  <c r="Q17" i="78"/>
  <c r="R17" i="78"/>
  <c r="S17" i="78"/>
  <c r="T17" i="78"/>
  <c r="U17" i="78"/>
  <c r="V17" i="78"/>
  <c r="W17" i="78"/>
  <c r="X17" i="78"/>
  <c r="Y17" i="78"/>
  <c r="Z17" i="78"/>
  <c r="AA17" i="78"/>
  <c r="AB17" i="78"/>
  <c r="B16" i="78"/>
  <c r="C16" i="78"/>
  <c r="D16" i="78"/>
  <c r="E16" i="78"/>
  <c r="F16" i="78"/>
  <c r="G16" i="78"/>
  <c r="H16" i="78"/>
  <c r="I16" i="78"/>
  <c r="J16" i="78"/>
  <c r="K16" i="78"/>
  <c r="L16" i="78"/>
  <c r="M16" i="78"/>
  <c r="N16" i="78"/>
  <c r="O16" i="78"/>
  <c r="P16" i="78"/>
  <c r="Q16" i="78"/>
  <c r="R16" i="78"/>
  <c r="S16" i="78"/>
  <c r="T16" i="78"/>
  <c r="U16" i="78"/>
  <c r="V16" i="78"/>
  <c r="W16" i="78"/>
  <c r="X16" i="78"/>
  <c r="Y16" i="78"/>
  <c r="Z16" i="78"/>
  <c r="AA16" i="78"/>
  <c r="AB16" i="78"/>
  <c r="B15" i="78"/>
  <c r="C15" i="78"/>
  <c r="D15" i="78"/>
  <c r="E15" i="78"/>
  <c r="F15" i="78"/>
  <c r="G15" i="78"/>
  <c r="H15" i="78"/>
  <c r="I15" i="78"/>
  <c r="J15" i="78"/>
  <c r="K15" i="78"/>
  <c r="L15" i="78"/>
  <c r="M15" i="78"/>
  <c r="N15" i="78"/>
  <c r="O15" i="78"/>
  <c r="P15" i="78"/>
  <c r="Q15" i="78"/>
  <c r="R15" i="78"/>
  <c r="S15" i="78"/>
  <c r="T15" i="78"/>
  <c r="U15" i="78"/>
  <c r="V15" i="78"/>
  <c r="W15" i="78"/>
  <c r="X15" i="78"/>
  <c r="Y15" i="78"/>
  <c r="Z15" i="78"/>
  <c r="AA15" i="78"/>
  <c r="AB15" i="78"/>
  <c r="B14" i="78"/>
  <c r="C14" i="78"/>
  <c r="D14" i="78"/>
  <c r="E14" i="78"/>
  <c r="F14" i="78"/>
  <c r="G14" i="78"/>
  <c r="H14" i="78"/>
  <c r="I14" i="78"/>
  <c r="J14" i="78"/>
  <c r="K14" i="78"/>
  <c r="L14" i="78"/>
  <c r="M14" i="78"/>
  <c r="N14" i="78"/>
  <c r="O14" i="78"/>
  <c r="P14" i="78"/>
  <c r="Q14" i="78"/>
  <c r="R14" i="78"/>
  <c r="S14" i="78"/>
  <c r="T14" i="78"/>
  <c r="U14" i="78"/>
  <c r="V14" i="78"/>
  <c r="W14" i="78"/>
  <c r="X14" i="78"/>
  <c r="Y14" i="78"/>
  <c r="Z14" i="78"/>
  <c r="AA14" i="78"/>
  <c r="AB14" i="78"/>
  <c r="B13" i="78"/>
  <c r="C13" i="78"/>
  <c r="D13" i="78"/>
  <c r="E13" i="78"/>
  <c r="F13" i="78"/>
  <c r="G13" i="78"/>
  <c r="H13" i="78"/>
  <c r="I13" i="78"/>
  <c r="J13" i="78"/>
  <c r="K13" i="78"/>
  <c r="L13" i="78"/>
  <c r="M13" i="78"/>
  <c r="N13" i="78"/>
  <c r="O13" i="78"/>
  <c r="P13" i="78"/>
  <c r="Q13" i="78"/>
  <c r="R13" i="78"/>
  <c r="S13" i="78"/>
  <c r="T13" i="78"/>
  <c r="U13" i="78"/>
  <c r="V13" i="78"/>
  <c r="W13" i="78"/>
  <c r="X13" i="78"/>
  <c r="Y13" i="78"/>
  <c r="Z13" i="78"/>
  <c r="AA13" i="78"/>
  <c r="AB13" i="78"/>
  <c r="B12" i="78"/>
  <c r="C12" i="78"/>
  <c r="D12" i="78"/>
  <c r="E12" i="78"/>
  <c r="F12" i="78"/>
  <c r="G12" i="78"/>
  <c r="H12" i="78"/>
  <c r="I12" i="78"/>
  <c r="J12" i="78"/>
  <c r="K12" i="78"/>
  <c r="L12" i="78"/>
  <c r="M12" i="78"/>
  <c r="N12" i="78"/>
  <c r="O12" i="78"/>
  <c r="P12" i="78"/>
  <c r="Q12" i="78"/>
  <c r="R12" i="78"/>
  <c r="S12" i="78"/>
  <c r="T12" i="78"/>
  <c r="U12" i="78"/>
  <c r="V12" i="78"/>
  <c r="W12" i="78"/>
  <c r="X12" i="78"/>
  <c r="Y12" i="78"/>
  <c r="Z12" i="78"/>
  <c r="AA12" i="78"/>
  <c r="AB12" i="78"/>
  <c r="B11" i="78"/>
  <c r="C11" i="78"/>
  <c r="D11" i="78"/>
  <c r="E11" i="78"/>
  <c r="F11" i="78"/>
  <c r="G11" i="78"/>
  <c r="H11" i="78"/>
  <c r="I11" i="78"/>
  <c r="J11" i="78"/>
  <c r="K11" i="78"/>
  <c r="L11" i="78"/>
  <c r="M11" i="78"/>
  <c r="N11" i="78"/>
  <c r="O11" i="78"/>
  <c r="P11" i="78"/>
  <c r="Q11" i="78"/>
  <c r="R11" i="78"/>
  <c r="S11" i="78"/>
  <c r="T11" i="78"/>
  <c r="U11" i="78"/>
  <c r="V11" i="78"/>
  <c r="W11" i="78"/>
  <c r="X11" i="78"/>
  <c r="Y11" i="78"/>
  <c r="Z11" i="78"/>
  <c r="AA11" i="78"/>
  <c r="AB11" i="78"/>
  <c r="B10" i="78"/>
  <c r="C10" i="78"/>
  <c r="D10" i="78"/>
  <c r="E10" i="78"/>
  <c r="F10" i="78"/>
  <c r="G10" i="78"/>
  <c r="H10" i="78"/>
  <c r="I10" i="78"/>
  <c r="J10" i="78"/>
  <c r="K10" i="78"/>
  <c r="L10" i="78"/>
  <c r="M10" i="78"/>
  <c r="N10" i="78"/>
  <c r="O10" i="78"/>
  <c r="P10" i="78"/>
  <c r="Q10" i="78"/>
  <c r="R10" i="78"/>
  <c r="S10" i="78"/>
  <c r="T10" i="78"/>
  <c r="U10" i="78"/>
  <c r="V10" i="78"/>
  <c r="W10" i="78"/>
  <c r="X10" i="78"/>
  <c r="Y10" i="78"/>
  <c r="Z10" i="78"/>
  <c r="AA10" i="78"/>
  <c r="AB10" i="78"/>
  <c r="B9" i="78"/>
  <c r="C9" i="78"/>
  <c r="D9" i="78"/>
  <c r="E9" i="78"/>
  <c r="F9" i="78"/>
  <c r="G9" i="78"/>
  <c r="H9" i="78"/>
  <c r="I9" i="78"/>
  <c r="J9" i="78"/>
  <c r="K9" i="78"/>
  <c r="L9" i="78"/>
  <c r="M9" i="78"/>
  <c r="N9" i="78"/>
  <c r="O9" i="78"/>
  <c r="P9" i="78"/>
  <c r="Q9" i="78"/>
  <c r="R9" i="78"/>
  <c r="S9" i="78"/>
  <c r="T9" i="78"/>
  <c r="U9" i="78"/>
  <c r="V9" i="78"/>
  <c r="W9" i="78"/>
  <c r="X9" i="78"/>
  <c r="Y9" i="78"/>
  <c r="Z9" i="78"/>
  <c r="AA9" i="78"/>
  <c r="AB9" i="78"/>
  <c r="B8" i="78"/>
  <c r="C8" i="78"/>
  <c r="D8" i="78"/>
  <c r="E8" i="78"/>
  <c r="F8" i="78"/>
  <c r="G8" i="78"/>
  <c r="H8" i="78"/>
  <c r="I8" i="78"/>
  <c r="J8" i="78"/>
  <c r="K8" i="78"/>
  <c r="L8" i="78"/>
  <c r="M8" i="78"/>
  <c r="N8" i="78"/>
  <c r="O8" i="78"/>
  <c r="P8" i="78"/>
  <c r="Q8" i="78"/>
  <c r="R8" i="78"/>
  <c r="S8" i="78"/>
  <c r="T8" i="78"/>
  <c r="U8" i="78"/>
  <c r="V8" i="78"/>
  <c r="W8" i="78"/>
  <c r="X8" i="78"/>
  <c r="Y8" i="78"/>
  <c r="Z8" i="78"/>
  <c r="AA8" i="78"/>
  <c r="AB8" i="78"/>
  <c r="B7" i="78"/>
  <c r="C7" i="78"/>
  <c r="D7" i="78"/>
  <c r="E7" i="78"/>
  <c r="F7" i="78"/>
  <c r="G7" i="78"/>
  <c r="H7" i="78"/>
  <c r="I7" i="78"/>
  <c r="J7" i="78"/>
  <c r="K7" i="78"/>
  <c r="L7" i="78"/>
  <c r="M7" i="78"/>
  <c r="N7" i="78"/>
  <c r="O7" i="78"/>
  <c r="P7" i="78"/>
  <c r="Q7" i="78"/>
  <c r="R7" i="78"/>
  <c r="S7" i="78"/>
  <c r="T7" i="78"/>
  <c r="U7" i="78"/>
  <c r="V7" i="78"/>
  <c r="W7" i="78"/>
  <c r="X7" i="78"/>
  <c r="Y7" i="78"/>
  <c r="Z7" i="78"/>
  <c r="AA7" i="78"/>
  <c r="AB7" i="78"/>
  <c r="B6" i="78"/>
  <c r="C6" i="78"/>
  <c r="D6" i="78"/>
  <c r="E6" i="78"/>
  <c r="F6" i="78"/>
  <c r="G6" i="78"/>
  <c r="H6" i="78"/>
  <c r="I6" i="78"/>
  <c r="J6" i="78"/>
  <c r="K6" i="78"/>
  <c r="L6" i="78"/>
  <c r="M6" i="78"/>
  <c r="N6" i="78"/>
  <c r="O6" i="78"/>
  <c r="P6" i="78"/>
  <c r="Q6" i="78"/>
  <c r="R6" i="78"/>
  <c r="S6" i="78"/>
  <c r="T6" i="78"/>
  <c r="U6" i="78"/>
  <c r="V6" i="78"/>
  <c r="W6" i="78"/>
  <c r="X6" i="78"/>
  <c r="Y6" i="78"/>
  <c r="Z6" i="78"/>
  <c r="AA6" i="78"/>
  <c r="AB6" i="78"/>
  <c r="B5" i="78"/>
  <c r="C5" i="78"/>
  <c r="D5" i="78"/>
  <c r="E5" i="78"/>
  <c r="F5" i="78"/>
  <c r="G5" i="78"/>
  <c r="H5" i="78"/>
  <c r="I5" i="78"/>
  <c r="J5" i="78"/>
  <c r="K5" i="78"/>
  <c r="L5" i="78"/>
  <c r="M5" i="78"/>
  <c r="N5" i="78"/>
  <c r="O5" i="78"/>
  <c r="P5" i="78"/>
  <c r="Q5" i="78"/>
  <c r="R5" i="78"/>
  <c r="S5" i="78"/>
  <c r="T5" i="78"/>
  <c r="U5" i="78"/>
  <c r="V5" i="78"/>
  <c r="W5" i="78"/>
  <c r="X5" i="78"/>
  <c r="Y5" i="78"/>
  <c r="Z5" i="78"/>
  <c r="AA5" i="78"/>
  <c r="AB5" i="78"/>
  <c r="B4" i="78"/>
  <c r="C4" i="78"/>
  <c r="D4" i="78"/>
  <c r="E4" i="78"/>
  <c r="F4" i="78"/>
  <c r="G4" i="78"/>
  <c r="H4" i="78"/>
  <c r="I4" i="78"/>
  <c r="J4" i="78"/>
  <c r="K4" i="78"/>
  <c r="L4" i="78"/>
  <c r="M4" i="78"/>
  <c r="N4" i="78"/>
  <c r="O4" i="78"/>
  <c r="P4" i="78"/>
  <c r="Q4" i="78"/>
  <c r="R4" i="78"/>
  <c r="S4" i="78"/>
  <c r="T4" i="78"/>
  <c r="U4" i="78"/>
  <c r="V4" i="78"/>
  <c r="W4" i="78"/>
  <c r="X4" i="78"/>
  <c r="Y4" i="78"/>
  <c r="Z4" i="78"/>
  <c r="AA4" i="78"/>
  <c r="AB4" i="78"/>
  <c r="B3" i="78"/>
  <c r="C3" i="78"/>
  <c r="D3" i="78"/>
  <c r="E3" i="78"/>
  <c r="F3" i="78"/>
  <c r="G3" i="78"/>
  <c r="H3" i="78"/>
  <c r="I3" i="78"/>
  <c r="J3" i="78"/>
  <c r="K3" i="78"/>
  <c r="L3" i="78"/>
  <c r="M3" i="78"/>
  <c r="N3" i="78"/>
  <c r="O3" i="78"/>
  <c r="P3" i="78"/>
  <c r="Q3" i="78"/>
  <c r="R3" i="78"/>
  <c r="S3" i="78"/>
  <c r="T3" i="78"/>
  <c r="U3" i="78"/>
  <c r="V3" i="78"/>
  <c r="W3" i="78"/>
  <c r="X3" i="78"/>
  <c r="Y3" i="78"/>
  <c r="Z3" i="78"/>
  <c r="AA3" i="78"/>
  <c r="AB3" i="78"/>
  <c r="B2" i="78"/>
  <c r="C2" i="78"/>
  <c r="D2" i="78"/>
  <c r="E2" i="78"/>
  <c r="F2" i="78"/>
  <c r="G2" i="78"/>
  <c r="H2" i="78"/>
  <c r="I2" i="78"/>
  <c r="J2" i="78"/>
  <c r="K2" i="78"/>
  <c r="L2" i="78"/>
  <c r="M2" i="78"/>
  <c r="N2" i="78"/>
  <c r="O2" i="78"/>
  <c r="P2" i="78"/>
  <c r="Q2" i="78"/>
  <c r="R2" i="78"/>
  <c r="S2" i="78"/>
  <c r="T2" i="78"/>
  <c r="U2" i="78"/>
  <c r="V2" i="78"/>
  <c r="W2" i="78"/>
  <c r="X2" i="78"/>
  <c r="Y2" i="78"/>
  <c r="Z2" i="78"/>
  <c r="AA2" i="78"/>
  <c r="AB2" i="78"/>
  <c r="AE22" i="68"/>
  <c r="F6" i="67"/>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D16" i="67"/>
  <c r="D15" i="67"/>
  <c r="D13" i="67"/>
  <c r="D12" i="67"/>
  <c r="D7" i="67"/>
  <c r="D8" i="67"/>
  <c r="D5" i="67"/>
  <c r="D4" i="67"/>
  <c r="D3" i="67"/>
  <c r="AH19" i="64" l="1"/>
  <c r="AH52" i="64"/>
  <c r="AH51" i="64"/>
  <c r="D14" i="67"/>
  <c r="C14" i="67"/>
  <c r="B4" i="24" l="1"/>
  <c r="B15" i="80" s="1"/>
  <c r="B4" i="84" s="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B17" i="80" s="1"/>
  <c r="B6" i="84" s="1"/>
  <c r="C6" i="24"/>
  <c r="D6" i="24"/>
  <c r="E6" i="24"/>
  <c r="F6" i="24"/>
  <c r="G6" i="24"/>
  <c r="H6" i="24"/>
  <c r="I6" i="24"/>
  <c r="J6" i="24"/>
  <c r="K6" i="24"/>
  <c r="L6" i="24"/>
  <c r="M6" i="24"/>
  <c r="N6" i="24"/>
  <c r="O6" i="24"/>
  <c r="P6" i="24"/>
  <c r="Q6" i="24"/>
  <c r="R6" i="24"/>
  <c r="S6" i="24"/>
  <c r="T6" i="24"/>
  <c r="U6" i="24"/>
  <c r="V6" i="24"/>
  <c r="W6" i="24"/>
  <c r="X6" i="24"/>
  <c r="Y6" i="24"/>
  <c r="Z6" i="24"/>
  <c r="AA6" i="24"/>
  <c r="AB6" i="24"/>
  <c r="B7" i="24"/>
  <c r="B18" i="80" s="1"/>
  <c r="B7" i="84" s="1"/>
  <c r="C7" i="24"/>
  <c r="C18" i="80" s="1"/>
  <c r="C7" i="84" s="1"/>
  <c r="D7" i="24"/>
  <c r="D18" i="80" s="1"/>
  <c r="D7" i="84" s="1"/>
  <c r="E7" i="24"/>
  <c r="E18" i="80" s="1"/>
  <c r="E7" i="84" s="1"/>
  <c r="F7" i="24"/>
  <c r="F18" i="80" s="1"/>
  <c r="F7" i="84" s="1"/>
  <c r="G7" i="24"/>
  <c r="G18" i="80" s="1"/>
  <c r="G7" i="84" s="1"/>
  <c r="H7" i="24"/>
  <c r="H18" i="80" s="1"/>
  <c r="H7" i="84" s="1"/>
  <c r="I7" i="24"/>
  <c r="I18" i="80" s="1"/>
  <c r="I7" i="84" s="1"/>
  <c r="J7" i="24"/>
  <c r="J18" i="80" s="1"/>
  <c r="J7" i="84" s="1"/>
  <c r="K7" i="24"/>
  <c r="K18" i="80" s="1"/>
  <c r="K7" i="84" s="1"/>
  <c r="L7" i="24"/>
  <c r="L18" i="80" s="1"/>
  <c r="L7" i="84" s="1"/>
  <c r="M7" i="24"/>
  <c r="M18" i="80" s="1"/>
  <c r="M7" i="84" s="1"/>
  <c r="N7" i="24"/>
  <c r="N18" i="80" s="1"/>
  <c r="N7" i="84" s="1"/>
  <c r="O7" i="24"/>
  <c r="O18" i="80" s="1"/>
  <c r="O7" i="84" s="1"/>
  <c r="P7" i="24"/>
  <c r="P18" i="80" s="1"/>
  <c r="P7" i="84" s="1"/>
  <c r="Q7" i="24"/>
  <c r="Q18" i="80" s="1"/>
  <c r="Q7" i="84" s="1"/>
  <c r="R7" i="24"/>
  <c r="R18" i="80" s="1"/>
  <c r="R7" i="84" s="1"/>
  <c r="S7" i="24"/>
  <c r="S18" i="80" s="1"/>
  <c r="S7" i="84" s="1"/>
  <c r="T7" i="24"/>
  <c r="T18" i="80" s="1"/>
  <c r="T7" i="84" s="1"/>
  <c r="U7" i="24"/>
  <c r="U18" i="80" s="1"/>
  <c r="U7" i="84" s="1"/>
  <c r="V7" i="24"/>
  <c r="V18" i="80" s="1"/>
  <c r="V7" i="84" s="1"/>
  <c r="W7" i="24"/>
  <c r="W18" i="80" s="1"/>
  <c r="W7" i="84" s="1"/>
  <c r="X7" i="24"/>
  <c r="X18" i="80" s="1"/>
  <c r="X7" i="84" s="1"/>
  <c r="Y7" i="24"/>
  <c r="Y18" i="80" s="1"/>
  <c r="Y7" i="84" s="1"/>
  <c r="Z7" i="24"/>
  <c r="Z18" i="80" s="1"/>
  <c r="Z7" i="84" s="1"/>
  <c r="AA7" i="24"/>
  <c r="AA18" i="80" s="1"/>
  <c r="AA7" i="84" s="1"/>
  <c r="AB7" i="24"/>
  <c r="AB18" i="80" s="1"/>
  <c r="AB7" i="84" s="1"/>
  <c r="B2" i="23"/>
  <c r="B5" i="80" s="1"/>
  <c r="B2" i="83" s="1"/>
  <c r="C2" i="23"/>
  <c r="D2" i="23"/>
  <c r="E2" i="23"/>
  <c r="F2" i="23"/>
  <c r="G2" i="23"/>
  <c r="H2" i="23"/>
  <c r="I2" i="23"/>
  <c r="J2" i="23"/>
  <c r="K2" i="23"/>
  <c r="L2" i="23"/>
  <c r="M2" i="23"/>
  <c r="N2" i="23"/>
  <c r="O2" i="23"/>
  <c r="P2" i="23"/>
  <c r="Q2" i="23"/>
  <c r="R2" i="23"/>
  <c r="S2" i="23"/>
  <c r="T2" i="23"/>
  <c r="U2" i="23"/>
  <c r="V2" i="23"/>
  <c r="W2" i="23"/>
  <c r="X2" i="23"/>
  <c r="Y2" i="23"/>
  <c r="Z2" i="23"/>
  <c r="AA2" i="23"/>
  <c r="AB2" i="23"/>
  <c r="B3" i="23"/>
  <c r="B6" i="80" s="1"/>
  <c r="B3" i="83" s="1"/>
  <c r="C3" i="23"/>
  <c r="F3" i="23"/>
  <c r="G3" i="23"/>
  <c r="H3" i="23"/>
  <c r="I3" i="23"/>
  <c r="Q3" i="23"/>
  <c r="S3" i="23"/>
  <c r="T3" i="23"/>
  <c r="U3" i="23"/>
  <c r="W3" i="23"/>
  <c r="AA3" i="23"/>
  <c r="AB3" i="23"/>
  <c r="B4" i="23"/>
  <c r="B7" i="80" s="1"/>
  <c r="B4" i="83" s="1"/>
  <c r="C4" i="23"/>
  <c r="D4" i="23"/>
  <c r="E4" i="23"/>
  <c r="F4" i="23"/>
  <c r="G4" i="23"/>
  <c r="H4" i="23"/>
  <c r="I4" i="23"/>
  <c r="J4" i="23"/>
  <c r="K4" i="23"/>
  <c r="L4" i="23"/>
  <c r="M4" i="23"/>
  <c r="N4" i="23"/>
  <c r="O4" i="23"/>
  <c r="P4" i="23"/>
  <c r="Q4" i="23"/>
  <c r="R4" i="23"/>
  <c r="S4" i="23"/>
  <c r="T4" i="23"/>
  <c r="U4" i="23"/>
  <c r="V4" i="23"/>
  <c r="W4" i="23"/>
  <c r="X4" i="23"/>
  <c r="Y4" i="23"/>
  <c r="Z4" i="23"/>
  <c r="AA4" i="23"/>
  <c r="AB4" i="23"/>
  <c r="B5" i="23"/>
  <c r="B8" i="80" s="1"/>
  <c r="B5" i="83" s="1"/>
  <c r="C5" i="23"/>
  <c r="D5" i="23"/>
  <c r="D8" i="80" s="1"/>
  <c r="D5" i="83" s="1"/>
  <c r="E5" i="23"/>
  <c r="E8" i="80" s="1"/>
  <c r="E5" i="83" s="1"/>
  <c r="F5" i="23"/>
  <c r="F8" i="80" s="1"/>
  <c r="F5" i="83" s="1"/>
  <c r="G5" i="23"/>
  <c r="G8" i="80" s="1"/>
  <c r="G5" i="83" s="1"/>
  <c r="H5" i="23"/>
  <c r="H8" i="80" s="1"/>
  <c r="H5" i="83" s="1"/>
  <c r="I5" i="23"/>
  <c r="I8" i="80" s="1"/>
  <c r="I5" i="83" s="1"/>
  <c r="J5" i="23"/>
  <c r="J8" i="80" s="1"/>
  <c r="J5" i="83" s="1"/>
  <c r="K5" i="23"/>
  <c r="K8" i="80" s="1"/>
  <c r="K5" i="83" s="1"/>
  <c r="L5" i="23"/>
  <c r="L8" i="80" s="1"/>
  <c r="L5" i="83" s="1"/>
  <c r="M5" i="23"/>
  <c r="M8" i="80" s="1"/>
  <c r="M5" i="83" s="1"/>
  <c r="N5" i="23"/>
  <c r="N8" i="80" s="1"/>
  <c r="N5" i="83" s="1"/>
  <c r="O5" i="23"/>
  <c r="O8" i="80" s="1"/>
  <c r="O5" i="83" s="1"/>
  <c r="P5" i="23"/>
  <c r="P8" i="80" s="1"/>
  <c r="P5" i="83" s="1"/>
  <c r="Q5" i="23"/>
  <c r="Q8" i="80" s="1"/>
  <c r="Q5" i="83" s="1"/>
  <c r="R5" i="23"/>
  <c r="R8" i="80" s="1"/>
  <c r="R5" i="83" s="1"/>
  <c r="S5" i="23"/>
  <c r="S8" i="80" s="1"/>
  <c r="S5" i="83" s="1"/>
  <c r="T5" i="23"/>
  <c r="T8" i="80" s="1"/>
  <c r="T5" i="83" s="1"/>
  <c r="U5" i="23"/>
  <c r="U8" i="80" s="1"/>
  <c r="U5" i="83" s="1"/>
  <c r="V5" i="23"/>
  <c r="V8" i="80" s="1"/>
  <c r="V5" i="83" s="1"/>
  <c r="W5" i="23"/>
  <c r="W8" i="80" s="1"/>
  <c r="W5" i="83" s="1"/>
  <c r="X5" i="23"/>
  <c r="X8" i="80" s="1"/>
  <c r="X5" i="83" s="1"/>
  <c r="Y5" i="23"/>
  <c r="Y8" i="80" s="1"/>
  <c r="Y5" i="83" s="1"/>
  <c r="Z5" i="23"/>
  <c r="Z8" i="80" s="1"/>
  <c r="Z5" i="83" s="1"/>
  <c r="AA5" i="23"/>
  <c r="AA8" i="80" s="1"/>
  <c r="AA5" i="83" s="1"/>
  <c r="AB5" i="23"/>
  <c r="AB8" i="80" s="1"/>
  <c r="AB5" i="83" s="1"/>
  <c r="B6" i="23"/>
  <c r="B9" i="80" s="1"/>
  <c r="B6" i="83" s="1"/>
  <c r="C6" i="23"/>
  <c r="D6" i="23"/>
  <c r="E6" i="23"/>
  <c r="F6" i="23"/>
  <c r="G6" i="23"/>
  <c r="H6" i="23"/>
  <c r="I6" i="23"/>
  <c r="J6" i="23"/>
  <c r="K6" i="23"/>
  <c r="L6" i="23"/>
  <c r="M6" i="23"/>
  <c r="N6" i="23"/>
  <c r="O6" i="23"/>
  <c r="P6" i="23"/>
  <c r="Q6" i="23"/>
  <c r="R6" i="23"/>
  <c r="S6" i="23"/>
  <c r="T6" i="23"/>
  <c r="U6" i="23"/>
  <c r="V6" i="23"/>
  <c r="W6" i="23"/>
  <c r="X6" i="23"/>
  <c r="Y6" i="23"/>
  <c r="Z6" i="23"/>
  <c r="AA6" i="23"/>
  <c r="AB6" i="23"/>
  <c r="B5" i="24"/>
  <c r="B16" i="80" s="1"/>
  <c r="B5" i="84" s="1"/>
  <c r="D3" i="23"/>
  <c r="E3" i="23"/>
  <c r="J3" i="23"/>
  <c r="K3" i="23"/>
  <c r="L3" i="23"/>
  <c r="M3" i="23"/>
  <c r="N3" i="23"/>
  <c r="O3" i="23"/>
  <c r="P3" i="23"/>
  <c r="R3" i="23"/>
  <c r="V3" i="23"/>
  <c r="X3" i="23"/>
  <c r="Y3" i="23"/>
  <c r="Z3" i="23"/>
  <c r="B11" i="56"/>
  <c r="AL3" i="58"/>
  <c r="B10" i="56" s="1"/>
  <c r="AK3" i="58"/>
  <c r="AL2" i="58"/>
  <c r="AK2" i="58"/>
  <c r="Y6" i="80" l="1"/>
  <c r="Y3" i="83" s="1"/>
  <c r="T9" i="80"/>
  <c r="T6" i="83" s="1"/>
  <c r="H7" i="80"/>
  <c r="H4" i="83" s="1"/>
  <c r="AA7" i="80"/>
  <c r="AA4" i="83" s="1"/>
  <c r="W5" i="80"/>
  <c r="W2" i="83" s="1"/>
  <c r="J17" i="80"/>
  <c r="J6" i="84" s="1"/>
  <c r="O16" i="80"/>
  <c r="O5" i="84" s="1"/>
  <c r="O6" i="80"/>
  <c r="O3" i="83" s="1"/>
  <c r="X7" i="80"/>
  <c r="X4" i="83" s="1"/>
  <c r="T5" i="80"/>
  <c r="T2" i="83" s="1"/>
  <c r="Q15" i="80"/>
  <c r="Q4" i="84" s="1"/>
  <c r="V7" i="80"/>
  <c r="V4" i="83" s="1"/>
  <c r="T6" i="80"/>
  <c r="T3" i="83" s="1"/>
  <c r="O5" i="80"/>
  <c r="O2" i="83" s="1"/>
  <c r="C17" i="80"/>
  <c r="C6" i="84" s="1"/>
  <c r="H9" i="80"/>
  <c r="H6" i="83" s="1"/>
  <c r="C8" i="80"/>
  <c r="C5" i="83" s="1"/>
  <c r="Z5" i="80"/>
  <c r="Z2" i="83" s="1"/>
  <c r="D5" i="80"/>
  <c r="D2" i="83" s="1"/>
  <c r="M17" i="80"/>
  <c r="M6" i="84" s="1"/>
  <c r="AB7" i="80"/>
  <c r="AB4" i="83" s="1"/>
  <c r="Q16" i="80"/>
  <c r="Q5" i="84" s="1"/>
  <c r="Z7" i="80"/>
  <c r="Z4" i="83" s="1"/>
  <c r="D7" i="80"/>
  <c r="D4" i="83" s="1"/>
  <c r="V5" i="80"/>
  <c r="V2" i="83" s="1"/>
  <c r="I17" i="80"/>
  <c r="I6" i="84" s="1"/>
  <c r="N16" i="80"/>
  <c r="N5" i="84" s="1"/>
  <c r="N9" i="80"/>
  <c r="N6" i="83" s="1"/>
  <c r="H17" i="80"/>
  <c r="H6" i="84" s="1"/>
  <c r="M9" i="80"/>
  <c r="M6" i="83" s="1"/>
  <c r="L16" i="80"/>
  <c r="L5" i="84" s="1"/>
  <c r="J16" i="80"/>
  <c r="J5" i="84" s="1"/>
  <c r="L15" i="80"/>
  <c r="L4" i="84" s="1"/>
  <c r="V17" i="80"/>
  <c r="V6" i="84" s="1"/>
  <c r="AA16" i="80"/>
  <c r="AA5" i="84" s="1"/>
  <c r="I15" i="80"/>
  <c r="I4" i="84" s="1"/>
  <c r="AA9" i="80"/>
  <c r="AA6" i="83" s="1"/>
  <c r="E9" i="80"/>
  <c r="E6" i="83" s="1"/>
  <c r="O7" i="80"/>
  <c r="O4" i="83" s="1"/>
  <c r="K5" i="80"/>
  <c r="K2" i="83" s="1"/>
  <c r="G15" i="80"/>
  <c r="G4" i="84" s="1"/>
  <c r="F7" i="80"/>
  <c r="F4" i="83" s="1"/>
  <c r="P16" i="80"/>
  <c r="P5" i="84" s="1"/>
  <c r="Y7" i="80"/>
  <c r="Y4" i="83" s="1"/>
  <c r="C7" i="80"/>
  <c r="C4" i="83" s="1"/>
  <c r="U5" i="80"/>
  <c r="U2" i="83" s="1"/>
  <c r="M16" i="80"/>
  <c r="M5" i="84" s="1"/>
  <c r="M6" i="80"/>
  <c r="M3" i="83" s="1"/>
  <c r="AB17" i="80"/>
  <c r="AB6" i="84" s="1"/>
  <c r="F17" i="80"/>
  <c r="F6" i="84" s="1"/>
  <c r="O15" i="80"/>
  <c r="O4" i="84" s="1"/>
  <c r="K6" i="80"/>
  <c r="K3" i="83" s="1"/>
  <c r="K9" i="80"/>
  <c r="K6" i="83" s="1"/>
  <c r="D17" i="80"/>
  <c r="D6" i="84" s="1"/>
  <c r="S7" i="80"/>
  <c r="S4" i="83" s="1"/>
  <c r="H16" i="80"/>
  <c r="H5" i="84" s="1"/>
  <c r="D6" i="80"/>
  <c r="D3" i="83" s="1"/>
  <c r="D9" i="80"/>
  <c r="D6" i="83" s="1"/>
  <c r="Y9" i="80"/>
  <c r="Y6" i="83" s="1"/>
  <c r="G7" i="80"/>
  <c r="G4" i="83" s="1"/>
  <c r="L17" i="80"/>
  <c r="L6" i="84" s="1"/>
  <c r="U15" i="80"/>
  <c r="U4" i="84" s="1"/>
  <c r="R6" i="80"/>
  <c r="R3" i="83" s="1"/>
  <c r="Q9" i="80"/>
  <c r="Q6" i="83" s="1"/>
  <c r="E7" i="80"/>
  <c r="E4" i="83" s="1"/>
  <c r="S15" i="80"/>
  <c r="S4" i="84" s="1"/>
  <c r="O9" i="80"/>
  <c r="O6" i="83" s="1"/>
  <c r="AB6" i="80"/>
  <c r="AB3" i="83" s="1"/>
  <c r="G17" i="80"/>
  <c r="G6" i="84" s="1"/>
  <c r="AA6" i="80"/>
  <c r="AA3" i="83" s="1"/>
  <c r="T7" i="80"/>
  <c r="T4" i="83" s="1"/>
  <c r="P5" i="80"/>
  <c r="P2" i="83" s="1"/>
  <c r="I16" i="80"/>
  <c r="I5" i="84" s="1"/>
  <c r="I9" i="80"/>
  <c r="I6" i="83" s="1"/>
  <c r="G16" i="80"/>
  <c r="G5" i="84" s="1"/>
  <c r="K15" i="80"/>
  <c r="K4" i="84" s="1"/>
  <c r="G9" i="80"/>
  <c r="G6" i="83" s="1"/>
  <c r="P7" i="80"/>
  <c r="P4" i="83" s="1"/>
  <c r="I6" i="80"/>
  <c r="I3" i="83" s="1"/>
  <c r="N7" i="80"/>
  <c r="N4" i="83" s="1"/>
  <c r="J5" i="80"/>
  <c r="J2" i="83" s="1"/>
  <c r="Y16" i="80"/>
  <c r="Y5" i="84" s="1"/>
  <c r="S17" i="80"/>
  <c r="S6" i="84" s="1"/>
  <c r="X16" i="80"/>
  <c r="X5" i="84" s="1"/>
  <c r="AB15" i="80"/>
  <c r="AB4" i="84" s="1"/>
  <c r="F15" i="80"/>
  <c r="F4" i="84" s="1"/>
  <c r="X9" i="80"/>
  <c r="X6" i="83" s="1"/>
  <c r="L7" i="80"/>
  <c r="L4" i="83" s="1"/>
  <c r="C6" i="80"/>
  <c r="C3" i="83" s="1"/>
  <c r="H5" i="80"/>
  <c r="H2" i="83" s="1"/>
  <c r="R17" i="80"/>
  <c r="R6" i="84" s="1"/>
  <c r="W16" i="80"/>
  <c r="W5" i="84" s="1"/>
  <c r="AA15" i="80"/>
  <c r="AA4" i="84" s="1"/>
  <c r="E15" i="80"/>
  <c r="E4" i="84" s="1"/>
  <c r="N17" i="80"/>
  <c r="N6" i="84" s="1"/>
  <c r="S16" i="80"/>
  <c r="S5" i="84" s="1"/>
  <c r="W15" i="80"/>
  <c r="W4" i="84" s="1"/>
  <c r="X6" i="80"/>
  <c r="X3" i="83" s="1"/>
  <c r="S9" i="80"/>
  <c r="S6" i="83" s="1"/>
  <c r="C5" i="80"/>
  <c r="C2" i="83" s="1"/>
  <c r="R16" i="80"/>
  <c r="R5" i="84" s="1"/>
  <c r="V6" i="80"/>
  <c r="V3" i="83" s="1"/>
  <c r="R9" i="80"/>
  <c r="R6" i="83" s="1"/>
  <c r="X5" i="80"/>
  <c r="X2" i="83" s="1"/>
  <c r="R15" i="80"/>
  <c r="R4" i="84" s="1"/>
  <c r="N6" i="80"/>
  <c r="N3" i="83" s="1"/>
  <c r="U7" i="80"/>
  <c r="U4" i="83" s="1"/>
  <c r="W6" i="80"/>
  <c r="W3" i="83" s="1"/>
  <c r="Q5" i="80"/>
  <c r="Q2" i="83" s="1"/>
  <c r="AA17" i="80"/>
  <c r="AA6" i="84" s="1"/>
  <c r="E17" i="80"/>
  <c r="E6" i="84" s="1"/>
  <c r="N15" i="80"/>
  <c r="N4" i="84" s="1"/>
  <c r="J6" i="80"/>
  <c r="J3" i="83" s="1"/>
  <c r="J9" i="80"/>
  <c r="J6" i="83" s="1"/>
  <c r="U6" i="80"/>
  <c r="U3" i="83" s="1"/>
  <c r="Z17" i="80"/>
  <c r="Z6" i="84" s="1"/>
  <c r="E6" i="80"/>
  <c r="E3" i="83" s="1"/>
  <c r="Y17" i="80"/>
  <c r="Y6" i="84" s="1"/>
  <c r="S6" i="80"/>
  <c r="S3" i="83" s="1"/>
  <c r="Q7" i="80"/>
  <c r="Q4" i="83" s="1"/>
  <c r="Q6" i="80"/>
  <c r="Q3" i="83" s="1"/>
  <c r="M5" i="80"/>
  <c r="M2" i="83" s="1"/>
  <c r="W17" i="80"/>
  <c r="W6" i="84" s="1"/>
  <c r="U17" i="80"/>
  <c r="U6" i="84" s="1"/>
  <c r="Z16" i="80"/>
  <c r="Z5" i="84" s="1"/>
  <c r="D16" i="80"/>
  <c r="D5" i="84" s="1"/>
  <c r="H15" i="80"/>
  <c r="H4" i="84" s="1"/>
  <c r="Z9" i="80"/>
  <c r="Z6" i="83" s="1"/>
  <c r="G6" i="80"/>
  <c r="G3" i="83" s="1"/>
  <c r="M7" i="80"/>
  <c r="M4" i="83" s="1"/>
  <c r="F6" i="80"/>
  <c r="F3" i="83" s="1"/>
  <c r="I5" i="80"/>
  <c r="I2" i="83" s="1"/>
  <c r="W9" i="80"/>
  <c r="W6" i="83" s="1"/>
  <c r="K7" i="80"/>
  <c r="K4" i="83" s="1"/>
  <c r="G5" i="80"/>
  <c r="G2" i="83" s="1"/>
  <c r="V9" i="80"/>
  <c r="V6" i="83" s="1"/>
  <c r="J7" i="80"/>
  <c r="J4" i="83" s="1"/>
  <c r="AB5" i="80"/>
  <c r="AB2" i="83" s="1"/>
  <c r="F5" i="80"/>
  <c r="F2" i="83" s="1"/>
  <c r="P17" i="80"/>
  <c r="P6" i="84" s="1"/>
  <c r="U16" i="80"/>
  <c r="U5" i="84" s="1"/>
  <c r="Y15" i="80"/>
  <c r="Y4" i="84" s="1"/>
  <c r="C15" i="80"/>
  <c r="C4" i="84" s="1"/>
  <c r="Y5" i="80"/>
  <c r="Y2" i="83" s="1"/>
  <c r="V15" i="80"/>
  <c r="V4" i="84" s="1"/>
  <c r="K17" i="80"/>
  <c r="K6" i="84" s="1"/>
  <c r="T15" i="80"/>
  <c r="T4" i="84" s="1"/>
  <c r="P6" i="80"/>
  <c r="P3" i="83" s="1"/>
  <c r="P9" i="80"/>
  <c r="P6" i="83" s="1"/>
  <c r="W7" i="80"/>
  <c r="W4" i="83" s="1"/>
  <c r="S5" i="80"/>
  <c r="S2" i="83" s="1"/>
  <c r="P15" i="80"/>
  <c r="P4" i="84" s="1"/>
  <c r="L6" i="80"/>
  <c r="L3" i="83" s="1"/>
  <c r="L9" i="80"/>
  <c r="L6" i="83" s="1"/>
  <c r="R5" i="80"/>
  <c r="R2" i="83" s="1"/>
  <c r="K16" i="80"/>
  <c r="K5" i="84" s="1"/>
  <c r="M15" i="80"/>
  <c r="M4" i="84" s="1"/>
  <c r="R7" i="80"/>
  <c r="R4" i="83" s="1"/>
  <c r="N5" i="80"/>
  <c r="N2" i="83" s="1"/>
  <c r="X17" i="80"/>
  <c r="X6" i="84" s="1"/>
  <c r="AB16" i="80"/>
  <c r="AB5" i="84" s="1"/>
  <c r="F16" i="80"/>
  <c r="F5" i="84" s="1"/>
  <c r="J15" i="80"/>
  <c r="J4" i="84" s="1"/>
  <c r="AB9" i="80"/>
  <c r="AB6" i="83" s="1"/>
  <c r="F9" i="80"/>
  <c r="F6" i="83" s="1"/>
  <c r="L5" i="80"/>
  <c r="L2" i="83" s="1"/>
  <c r="E16" i="80"/>
  <c r="E5" i="84" s="1"/>
  <c r="H6" i="80"/>
  <c r="H3" i="83" s="1"/>
  <c r="T17" i="80"/>
  <c r="T6" i="84" s="1"/>
  <c r="C16" i="80"/>
  <c r="C5" i="84" s="1"/>
  <c r="C9" i="80"/>
  <c r="C6" i="83" s="1"/>
  <c r="Q17" i="80"/>
  <c r="Q6" i="84" s="1"/>
  <c r="V16" i="80"/>
  <c r="V5" i="84" s="1"/>
  <c r="Z15" i="80"/>
  <c r="Z4" i="84" s="1"/>
  <c r="D15" i="80"/>
  <c r="D4" i="84" s="1"/>
  <c r="Z6" i="80"/>
  <c r="Z3" i="83" s="1"/>
  <c r="U9" i="80"/>
  <c r="U6" i="83" s="1"/>
  <c r="I7" i="80"/>
  <c r="I4" i="83" s="1"/>
  <c r="AA5" i="80"/>
  <c r="AA2" i="83" s="1"/>
  <c r="E5" i="80"/>
  <c r="E2" i="83" s="1"/>
  <c r="O17" i="80"/>
  <c r="O6" i="84" s="1"/>
  <c r="T16" i="80"/>
  <c r="T5" i="84" s="1"/>
  <c r="X15" i="80"/>
  <c r="X4" i="84" s="1"/>
  <c r="G4" i="57"/>
  <c r="Q2" i="24" l="1"/>
  <c r="F2" i="24"/>
  <c r="S2" i="24"/>
  <c r="J2" i="24"/>
  <c r="L2" i="24"/>
  <c r="C2" i="24"/>
  <c r="T2" i="24"/>
  <c r="V2" i="24"/>
  <c r="Z2" i="24"/>
  <c r="O2" i="24"/>
  <c r="D2" i="24"/>
  <c r="AB2" i="24"/>
  <c r="W2" i="24"/>
  <c r="AA2" i="24"/>
  <c r="P2" i="24"/>
  <c r="R2" i="24"/>
  <c r="I2" i="24"/>
  <c r="K2" i="24"/>
  <c r="H2" i="24"/>
  <c r="E2" i="24"/>
  <c r="X2" i="24"/>
  <c r="M2" i="24"/>
  <c r="U2" i="24"/>
  <c r="Y2" i="24"/>
  <c r="N2" i="24"/>
  <c r="G2" i="24"/>
  <c r="B2" i="24"/>
  <c r="B13" i="80" s="1"/>
  <c r="B2" i="84" s="1"/>
  <c r="X7" i="23"/>
  <c r="X10" i="80" s="1"/>
  <c r="X7" i="83" s="1"/>
  <c r="M7" i="23"/>
  <c r="M10" i="80" s="1"/>
  <c r="M7" i="83" s="1"/>
  <c r="D7" i="23"/>
  <c r="D10" i="80" s="1"/>
  <c r="D7" i="83" s="1"/>
  <c r="H7" i="23"/>
  <c r="H10" i="80" s="1"/>
  <c r="H7" i="83" s="1"/>
  <c r="J7" i="23"/>
  <c r="J10" i="80" s="1"/>
  <c r="J7" i="83" s="1"/>
  <c r="W7" i="23"/>
  <c r="W10" i="80" s="1"/>
  <c r="W7" i="83" s="1"/>
  <c r="P7" i="23"/>
  <c r="P10" i="80" s="1"/>
  <c r="P7" i="83" s="1"/>
  <c r="R7" i="23"/>
  <c r="R10" i="80" s="1"/>
  <c r="R7" i="83" s="1"/>
  <c r="AB7" i="23"/>
  <c r="AB10" i="80" s="1"/>
  <c r="AB7" i="83" s="1"/>
  <c r="G7" i="23"/>
  <c r="G10" i="80" s="1"/>
  <c r="G7" i="83" s="1"/>
  <c r="T7" i="23"/>
  <c r="T10" i="80" s="1"/>
  <c r="T7" i="83" s="1"/>
  <c r="Z7" i="23"/>
  <c r="Z10" i="80" s="1"/>
  <c r="Z7" i="83" s="1"/>
  <c r="O7" i="23"/>
  <c r="O10" i="80" s="1"/>
  <c r="O7" i="83" s="1"/>
  <c r="Y7" i="23"/>
  <c r="Y10" i="80" s="1"/>
  <c r="Y7" i="83" s="1"/>
  <c r="C7" i="23"/>
  <c r="C10" i="80" s="1"/>
  <c r="C7" i="83" s="1"/>
  <c r="E7" i="23"/>
  <c r="E10" i="80" s="1"/>
  <c r="E7" i="83" s="1"/>
  <c r="V7" i="23"/>
  <c r="V10" i="80" s="1"/>
  <c r="V7" i="83" s="1"/>
  <c r="K7" i="23"/>
  <c r="K10" i="80" s="1"/>
  <c r="K7" i="83" s="1"/>
  <c r="Q7" i="23"/>
  <c r="Q10" i="80" s="1"/>
  <c r="Q7" i="83" s="1"/>
  <c r="F7" i="23"/>
  <c r="F10" i="80" s="1"/>
  <c r="F7" i="83" s="1"/>
  <c r="S7" i="23"/>
  <c r="S10" i="80" s="1"/>
  <c r="S7" i="83" s="1"/>
  <c r="U7" i="23"/>
  <c r="U10" i="80" s="1"/>
  <c r="U7" i="83" s="1"/>
  <c r="L7" i="23"/>
  <c r="L10" i="80" s="1"/>
  <c r="L7" i="83" s="1"/>
  <c r="N7" i="23"/>
  <c r="N10" i="80" s="1"/>
  <c r="N7" i="83" s="1"/>
  <c r="AA7" i="23"/>
  <c r="AA10" i="80" s="1"/>
  <c r="AA7" i="83" s="1"/>
  <c r="I7" i="23"/>
  <c r="I10" i="80" s="1"/>
  <c r="I7" i="83" s="1"/>
  <c r="B7" i="23"/>
  <c r="B10" i="80" s="1"/>
  <c r="B7" i="83" s="1"/>
  <c r="Z3" i="24"/>
  <c r="O3" i="24"/>
  <c r="D3" i="24"/>
  <c r="Q3" i="24"/>
  <c r="H3" i="24"/>
  <c r="W3" i="24"/>
  <c r="V3" i="24"/>
  <c r="K3" i="24"/>
  <c r="F3" i="24"/>
  <c r="J3" i="24"/>
  <c r="L3" i="24"/>
  <c r="Y3" i="24"/>
  <c r="C3" i="24"/>
  <c r="AA3" i="24"/>
  <c r="P3" i="24"/>
  <c r="G3" i="24"/>
  <c r="AB3" i="24"/>
  <c r="S3" i="24"/>
  <c r="U3" i="24"/>
  <c r="N3" i="24"/>
  <c r="I3" i="24"/>
  <c r="X3" i="24"/>
  <c r="M3" i="24"/>
  <c r="E3" i="24"/>
  <c r="R3" i="24"/>
  <c r="T3" i="24"/>
  <c r="B3" i="24"/>
  <c r="B14" i="80" s="1"/>
  <c r="B3" i="84" s="1"/>
  <c r="M13" i="80" l="1"/>
  <c r="M2" i="84" s="1"/>
  <c r="L14" i="80"/>
  <c r="L3" i="84" s="1"/>
  <c r="H13" i="80"/>
  <c r="H2" i="84" s="1"/>
  <c r="K14" i="80"/>
  <c r="K3" i="84" s="1"/>
  <c r="AA13" i="80"/>
  <c r="AA2" i="84" s="1"/>
  <c r="R14" i="80"/>
  <c r="R3" i="84" s="1"/>
  <c r="D14" i="80"/>
  <c r="D3" i="84" s="1"/>
  <c r="Z13" i="80"/>
  <c r="Z2" i="84" s="1"/>
  <c r="N14" i="80"/>
  <c r="N3" i="84" s="1"/>
  <c r="C13" i="80"/>
  <c r="C2" i="84" s="1"/>
  <c r="AB14" i="80"/>
  <c r="AB3" i="84" s="1"/>
  <c r="N13" i="80"/>
  <c r="N2" i="84" s="1"/>
  <c r="S13" i="80"/>
  <c r="S2" i="84" s="1"/>
  <c r="Y14" i="80"/>
  <c r="Y3" i="84" s="1"/>
  <c r="E13" i="80"/>
  <c r="E2" i="84" s="1"/>
  <c r="F14" i="80"/>
  <c r="F3" i="84" s="1"/>
  <c r="I13" i="80"/>
  <c r="I2" i="84" s="1"/>
  <c r="W14" i="80"/>
  <c r="W3" i="84" s="1"/>
  <c r="R13" i="80"/>
  <c r="R2" i="84" s="1"/>
  <c r="H14" i="80"/>
  <c r="H3" i="84" s="1"/>
  <c r="W13" i="80"/>
  <c r="W2" i="84" s="1"/>
  <c r="E14" i="80"/>
  <c r="E3" i="84" s="1"/>
  <c r="O14" i="80"/>
  <c r="O3" i="84" s="1"/>
  <c r="O13" i="80"/>
  <c r="O2" i="84" s="1"/>
  <c r="I14" i="80"/>
  <c r="I3" i="84" s="1"/>
  <c r="T13" i="80"/>
  <c r="T2" i="84" s="1"/>
  <c r="S14" i="80"/>
  <c r="S3" i="84" s="1"/>
  <c r="L13" i="80"/>
  <c r="L2" i="84" s="1"/>
  <c r="G14" i="80"/>
  <c r="G3" i="84" s="1"/>
  <c r="G13" i="80"/>
  <c r="G2" i="84" s="1"/>
  <c r="AA14" i="80"/>
  <c r="AA3" i="84" s="1"/>
  <c r="Y13" i="80"/>
  <c r="Y2" i="84" s="1"/>
  <c r="F13" i="80"/>
  <c r="F2" i="84" s="1"/>
  <c r="X13" i="80"/>
  <c r="X2" i="84" s="1"/>
  <c r="J14" i="80"/>
  <c r="J3" i="84" s="1"/>
  <c r="K13" i="80"/>
  <c r="K2" i="84" s="1"/>
  <c r="V14" i="80"/>
  <c r="V3" i="84" s="1"/>
  <c r="P13" i="80"/>
  <c r="P2" i="84" s="1"/>
  <c r="T14" i="80"/>
  <c r="T3" i="84" s="1"/>
  <c r="Q14" i="80"/>
  <c r="Q3" i="84" s="1"/>
  <c r="AB13" i="80"/>
  <c r="AB2" i="84" s="1"/>
  <c r="M14" i="80"/>
  <c r="M3" i="84" s="1"/>
  <c r="Z14" i="80"/>
  <c r="Z3" i="84" s="1"/>
  <c r="D13" i="80"/>
  <c r="D2" i="84" s="1"/>
  <c r="X14" i="80"/>
  <c r="X3" i="84" s="1"/>
  <c r="V13" i="80"/>
  <c r="V2" i="84" s="1"/>
  <c r="U14" i="80"/>
  <c r="U3" i="84" s="1"/>
  <c r="J13" i="80"/>
  <c r="J2" i="84" s="1"/>
  <c r="P14" i="80"/>
  <c r="P3" i="84" s="1"/>
  <c r="C14" i="80"/>
  <c r="C3" i="84" s="1"/>
  <c r="U13" i="80"/>
  <c r="U2" i="84" s="1"/>
  <c r="Q13" i="80"/>
  <c r="Q2" i="8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<sst xmlns="http://schemas.openxmlformats.org/spreadsheetml/2006/main" count="6428" uniqueCount="3038">
  <si>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</si>
  <si>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</si>
  <si>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</si>
  <si>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</si>
  <si>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</si>
  <si>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</si>
  <si>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</si>
  <si>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</si>
  <si>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</si>
  <si>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</si>
  <si>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</si>
  <si>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</si>
  <si>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</si>
  <si>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</si>
  <si>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</si>
  <si>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</si>
  <si>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</si>
  <si>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</si>
  <si>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</si>
  <si>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</si>
  <si>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</si>
  <si>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</si>
  <si>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</si>
  <si>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</si>
  <si>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</si>
  <si>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</si>
  <si>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</si>
  <si>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</si>
  <si>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</si>
  <si>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</si>
  <si>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</si>
  <si>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</si>
  <si>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</si>
  <si>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</si>
  <si>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</si>
  <si>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</si>
  <si>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</si>
  <si>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</si>
  <si>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</si>
  <si>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</si>
  <si>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</si>
  <si>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</si>
  <si>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</si>
  <si>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</si>
  <si>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</si>
  <si>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</si>
  <si>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</si>
  <si>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</si>
  <si>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</si>
  <si>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</si>
  <si>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</si>
  <si>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</si>
  <si>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</si>
  <si>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</si>
  <si>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</si>
  <si>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</si>
  <si>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</si>
  <si>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</si>
  <si>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</si>
  <si>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</si>
  <si>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</si>
  <si>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</si>
  <si>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</si>
  <si>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</si>
  <si>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</si>
  <si>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</si>
  <si>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</si>
  <si>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</si>
  <si>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</si>
  <si>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</si>
  <si>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</si>
  <si>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</si>
  <si>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</si>
  <si>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</si>
  <si>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</si>
  <si>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</si>
  <si>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</si>
  <si>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</si>
  <si>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</si>
  <si>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</si>
  <si>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</si>
  <si>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</si>
  <si>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</si>
  <si>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</si>
  <si>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</si>
  <si>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</si>
  <si>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</si>
  <si>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</si>
  <si>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</si>
  <si>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</si>
  <si>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</si>
  <si>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</si>
  <si>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</si>
  <si>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</si>
  <si>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</si>
  <si>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</si>
  <si>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</si>
  <si>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</si>
  <si>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</si>
  <si>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</si>
  <si>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</si>
  <si>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</si>
  <si>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</si>
  <si>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</si>
  <si>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</si>
  <si>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</si>
  <si>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</si>
  <si>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</si>
  <si>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</si>
  <si>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</si>
  <si>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</si>
  <si>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</si>
  <si>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</si>
  <si>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</si>
  <si>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</si>
  <si>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</si>
  <si>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</si>
  <si>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</si>
  <si>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</si>
  <si>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</si>
  <si>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</si>
  <si>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</si>
  <si>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</si>
  <si>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</si>
  <si>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</si>
  <si>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</si>
  <si>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</si>
  <si>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</si>
  <si>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</si>
  <si>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</si>
  <si>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</si>
  <si>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</si>
  <si>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</si>
  <si>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</si>
  <si>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</si>
  <si>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</si>
  <si>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</si>
  <si>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</si>
  <si>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</si>
  <si>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</si>
  <si>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</si>
  <si>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</si>
  <si>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</si>
  <si>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</si>
  <si>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</si>
  <si>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</si>
  <si>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</si>
  <si>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</si>
  <si>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</si>
  <si>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</si>
  <si>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</si>
  <si>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</si>
  <si>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</si>
  <si>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</si>
  <si>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</si>
  <si>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</si>
  <si>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</si>
  <si>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</si>
  <si>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</si>
  <si>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</si>
  <si>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</si>
  <si>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</si>
  <si>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</si>
  <si>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</si>
  <si>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</si>
  <si>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</si>
  <si>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</si>
  <si>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</si>
  <si>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</si>
  <si>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</si>
  <si>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</si>
  <si>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</si>
  <si>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</si>
  <si>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</si>
  <si>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</si>
  <si>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</si>
  <si>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</si>
  <si>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</si>
  <si>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</si>
  <si>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</si>
  <si>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</si>
  <si>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</si>
  <si>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</si>
  <si>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</si>
  <si>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</si>
  <si>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</si>
  <si>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</si>
  <si>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</si>
  <si>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</si>
  <si>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</si>
  <si>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</si>
  <si>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</si>
  <si>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</si>
  <si>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</si>
  <si>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</si>
  <si>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</si>
  <si>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</si>
  <si>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</si>
  <si>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</si>
  <si>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</si>
  <si>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</si>
  <si>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</si>
  <si>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</si>
  <si>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</si>
  <si>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</si>
  <si>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</si>
  <si>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</si>
  <si>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</si>
  <si>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</si>
  <si>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</si>
  <si>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</si>
  <si>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</si>
  <si>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</si>
  <si>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</si>
  <si>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</si>
  <si>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</si>
  <si>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</si>
  <si>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</si>
  <si>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</si>
  <si>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</si>
  <si>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</si>
  <si>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</si>
  <si>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</si>
  <si>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</si>
  <si>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</si>
  <si>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</si>
  <si>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</si>
  <si>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</si>
  <si>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</si>
  <si>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</si>
  <si>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</si>
  <si>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</si>
  <si>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</si>
  <si>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</si>
  <si>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</si>
  <si>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</si>
  <si>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</si>
  <si>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</si>
  <si>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</si>
  <si>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</si>
  <si>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</si>
  <si>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</si>
  <si>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</si>
  <si>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</si>
  <si>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</si>
  <si>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</si>
  <si>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</si>
  <si>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</si>
  <si>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</si>
  <si>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</si>
  <si>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</si>
  <si>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</si>
  <si>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</si>
  <si>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</si>
  <si>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</si>
  <si>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</si>
  <si>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</si>
  <si>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</si>
  <si>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</si>
  <si>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</si>
  <si>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</si>
  <si>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</si>
  <si>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</si>
  <si>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</si>
  <si>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</si>
  <si>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</si>
  <si>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</si>
  <si>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</si>
  <si>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</si>
  <si>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</si>
  <si>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</si>
  <si>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</si>
  <si>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</si>
  <si>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</si>
  <si>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</si>
  <si>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</si>
  <si>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</si>
  <si>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</si>
  <si>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</si>
  <si>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</si>
  <si>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</si>
  <si>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</si>
  <si>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</si>
  <si>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</si>
  <si>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</si>
  <si>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</si>
  <si>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</si>
  <si>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</si>
  <si>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</si>
  <si>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</si>
  <si>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</si>
  <si>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</si>
  <si>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</si>
  <si>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</si>
  <si>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</si>
  <si>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</si>
  <si>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</si>
  <si>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</si>
  <si>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</si>
  <si>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</si>
  <si>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</si>
  <si>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</si>
  <si>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</si>
  <si>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</si>
  <si>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</si>
  <si>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</si>
  <si>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</si>
  <si>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</si>
  <si>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</si>
  <si>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</si>
  <si>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</si>
  <si>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</si>
  <si>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</si>
  <si>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</si>
  <si>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</si>
  <si>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</si>
  <si>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</si>
  <si>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</si>
  <si>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</si>
  <si>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</si>
  <si>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</si>
  <si>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</si>
  <si>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</si>
  <si>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</si>
  <si>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</si>
  <si>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</si>
  <si>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</si>
  <si>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</si>
  <si>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</si>
  <si>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</si>
  <si>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</si>
  <si>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</si>
  <si>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</si>
  <si>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</si>
  <si>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</si>
  <si>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</si>
  <si>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</si>
  <si>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</si>
  <si>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</si>
  <si>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</si>
  <si>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</si>
  <si>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</si>
  <si>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</si>
  <si>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</si>
  <si>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</si>
  <si>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</si>
  <si>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</si>
  <si>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</si>
  <si>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</si>
  <si>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</si>
  <si>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</si>
  <si>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</si>
  <si>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</si>
  <si>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</si>
  <si>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</si>
  <si>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</si>
  <si>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</si>
  <si>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</si>
  <si>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</si>
  <si>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</si>
  <si>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</si>
  <si>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</si>
  <si>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</si>
  <si>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</si>
  <si>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</si>
  <si>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</si>
  <si>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</si>
  <si>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</si>
  <si>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</si>
  <si>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</si>
  <si>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</si>
  <si>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</si>
  <si>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</si>
  <si>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</si>
  <si>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</si>
  <si>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</si>
  <si>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</si>
  <si>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</si>
  <si>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</si>
  <si>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</si>
  <si>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</si>
  <si>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</si>
  <si>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</si>
  <si>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</si>
  <si>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</si>
  <si>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</si>
  <si>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</si>
  <si>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</si>
  <si>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</si>
  <si>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</si>
  <si>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</si>
  <si>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</si>
  <si>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</si>
  <si>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</si>
  <si>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</si>
  <si>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</si>
  <si>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</si>
  <si>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</si>
  <si>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</si>
  <si>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</si>
  <si>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</si>
  <si>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</si>
  <si>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</si>
  <si>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</si>
  <si>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</si>
  <si>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</si>
  <si>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</si>
  <si>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</si>
  <si>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</si>
  <si>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</si>
  <si>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</si>
  <si>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</si>
  <si>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</si>
  <si>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</si>
  <si>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</si>
  <si>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</si>
  <si>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</si>
  <si>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</si>
  <si>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</si>
  <si>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</si>
  <si>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</si>
  <si>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</si>
  <si>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</si>
  <si>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</si>
  <si>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</si>
  <si>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</si>
  <si>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</si>
  <si>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</si>
  <si>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</si>
  <si>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</si>
  <si>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</si>
  <si>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</si>
  <si>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</si>
  <si>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</si>
  <si>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</si>
  <si>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</si>
  <si>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</si>
  <si>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</si>
  <si>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</si>
  <si>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</si>
  <si>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</si>
  <si>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</si>
  <si>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</si>
  <si>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</si>
  <si>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</si>
  <si>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</si>
  <si>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</si>
  <si>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</si>
  <si>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</si>
  <si>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</si>
  <si>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</si>
  <si>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</si>
  <si>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</si>
  <si>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</si>
  <si>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</si>
  <si>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</si>
  <si>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</si>
  <si>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</si>
  <si>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</si>
  <si>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</si>
  <si>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</si>
  <si>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</si>
  <si>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</si>
  <si>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</si>
  <si>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</si>
  <si>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</si>
  <si>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</si>
  <si>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</si>
  <si>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</si>
  <si>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</si>
  <si>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</si>
  <si>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</si>
  <si>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</si>
  <si>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</si>
  <si>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</si>
  <si>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</si>
  <si>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</si>
  <si>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</si>
  <si>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</si>
  <si>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</si>
  <si>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</si>
  <si>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</si>
  <si>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</si>
  <si>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</si>
  <si>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</si>
  <si>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</si>
  <si>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</si>
  <si>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</si>
  <si>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</si>
  <si>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</si>
  <si>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</si>
  <si>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</si>
  <si>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</si>
  <si>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</si>
  <si>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</si>
  <si>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</si>
  <si>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</si>
  <si>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</si>
  <si>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</si>
  <si>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</si>
  <si>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</si>
  <si>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</si>
  <si>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</si>
  <si>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</si>
  <si>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</si>
  <si>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</si>
  <si>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</si>
  <si>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</si>
  <si>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</si>
  <si>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</si>
  <si>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</si>
  <si>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</si>
  <si>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</si>
  <si>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</si>
  <si>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</si>
  <si>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</si>
  <si>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</si>
  <si>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</si>
  <si>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</si>
  <si>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</si>
  <si>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</si>
  <si>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</si>
  <si>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</si>
  <si>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</si>
  <si>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</si>
  <si>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</si>
  <si>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</si>
  <si>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</si>
  <si>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</si>
  <si>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</si>
  <si>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</si>
  <si>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</si>
  <si>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</si>
  <si>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</si>
  <si>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</si>
  <si>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</si>
  <si>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</si>
  <si>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</si>
  <si>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</si>
  <si>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</si>
  <si>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</si>
  <si>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</si>
  <si>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</si>
  <si>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</si>
  <si>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</si>
  <si>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</si>
  <si>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</si>
  <si>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</si>
  <si>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</si>
  <si>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</si>
  <si>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</si>
  <si>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</si>
  <si>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</si>
  <si>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</si>
  <si>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</si>
  <si>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</si>
  <si>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</si>
  <si>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</si>
  <si>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</si>
  <si>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</si>
  <si>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</si>
  <si>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</si>
  <si>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</si>
  <si>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</si>
  <si>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</si>
  <si>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</si>
  <si>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</si>
  <si>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</si>
  <si>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</si>
  <si>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</si>
  <si>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</si>
  <si>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</si>
  <si>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</si>
  <si>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</si>
  <si>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</si>
  <si>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</si>
  <si>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</si>
  <si>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</si>
  <si>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</si>
  <si>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</si>
  <si>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</si>
  <si>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</si>
  <si>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</si>
  <si>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</si>
  <si>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</si>
  <si>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</si>
  <si>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</si>
  <si>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</si>
  <si>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</si>
  <si>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</si>
  <si>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</si>
  <si>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</si>
  <si>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</si>
  <si>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</si>
  <si>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</si>
  <si>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</si>
  <si>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</si>
  <si>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</si>
  <si>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</si>
  <si>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</si>
  <si>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</si>
  <si>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</si>
  <si>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</si>
  <si>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</si>
  <si>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</si>
  <si>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</si>
  <si>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</si>
  <si>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</si>
  <si>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</si>
  <si>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</si>
  <si>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</si>
  <si>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</si>
  <si>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</si>
  <si>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</si>
  <si>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</si>
  <si>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</si>
  <si>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</si>
  <si>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</si>
  <si>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</si>
  <si>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</si>
  <si>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</si>
  <si>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</si>
  <si>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</si>
  <si>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</si>
  <si>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</si>
  <si>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</si>
  <si>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</si>
  <si>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</si>
  <si>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</si>
  <si>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</si>
  <si>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</si>
  <si>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</si>
  <si>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</si>
  <si>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</si>
  <si>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</si>
  <si>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</si>
  <si>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</si>
  <si>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</si>
  <si>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</si>
  <si>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</si>
  <si>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</si>
  <si>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</si>
  <si>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</si>
  <si>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</si>
  <si>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</si>
  <si>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</si>
  <si>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</si>
  <si>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</si>
  <si>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</si>
  <si>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</si>
  <si>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</si>
  <si>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</si>
  <si>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</si>
  <si>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</si>
  <si>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</si>
  <si>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</si>
  <si>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</si>
  <si>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</si>
  <si>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</si>
  <si>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</si>
  <si>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</si>
  <si>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</si>
  <si>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</si>
  <si>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</si>
  <si>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</si>
  <si>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</si>
  <si>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</si>
  <si>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</si>
  <si>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</si>
  <si>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</si>
  <si>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</si>
  <si>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</si>
  <si>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</si>
  <si>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</si>
  <si>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</si>
  <si>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</si>
  <si>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</si>
  <si>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</si>
  <si>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</si>
  <si>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</si>
  <si>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</si>
  <si>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</si>
  <si>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</si>
  <si>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</si>
  <si>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</si>
  <si>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</si>
  <si>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</si>
  <si>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</si>
  <si>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</si>
  <si>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</si>
  <si>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</si>
  <si>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</si>
  <si>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</si>
  <si>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</si>
  <si>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</si>
  <si>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</si>
  <si>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</si>
  <si>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</si>
  <si>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</si>
  <si>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</si>
  <si>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</si>
  <si>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</si>
  <si>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</si>
  <si>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</si>
  <si>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</si>
  <si>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</si>
  <si>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</si>
  <si>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</si>
  <si>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</si>
  <si>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</si>
  <si>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</si>
  <si>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</si>
  <si>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</si>
  <si>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</si>
  <si>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</si>
  <si>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</si>
  <si>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</si>
  <si>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</si>
  <si>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</si>
  <si>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</si>
  <si>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</si>
  <si>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</si>
  <si>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</si>
  <si>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</si>
  <si>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</si>
  <si>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</si>
  <si>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</si>
  <si>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</si>
  <si>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</si>
  <si>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</si>
  <si>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</si>
  <si>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</si>
  <si>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</si>
  <si>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</si>
  <si>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</si>
  <si>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</si>
  <si>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</si>
  <si>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</si>
  <si>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</si>
  <si>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</si>
  <si>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</si>
  <si>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</si>
  <si>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</si>
  <si>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</si>
  <si>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</si>
  <si>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</si>
  <si>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</si>
  <si>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</si>
  <si>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</si>
  <si>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</si>
  <si>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</si>
  <si>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</si>
  <si>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</si>
  <si>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</si>
  <si>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</si>
  <si>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</si>
  <si>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</si>
  <si>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</si>
  <si>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</si>
  <si>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</si>
  <si>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</si>
  <si>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</si>
  <si>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</si>
  <si>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</si>
  <si>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</si>
  <si>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</si>
  <si>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</si>
  <si>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</si>
  <si>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</si>
  <si>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</si>
  <si>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</si>
  <si>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</si>
  <si>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</si>
  <si>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</si>
  <si>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</si>
  <si>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</si>
  <si>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</si>
  <si>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</si>
  <si>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</si>
  <si>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</si>
  <si>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</si>
  <si>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</si>
  <si>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</si>
  <si>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</si>
  <si>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</si>
  <si>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</si>
  <si>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</si>
  <si>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</si>
  <si>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</si>
  <si>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</si>
  <si>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</si>
  <si>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</si>
  <si>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</si>
  <si>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</si>
  <si>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</si>
  <si>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</si>
  <si>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</si>
  <si>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</si>
  <si>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</si>
  <si>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</si>
  <si>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</si>
  <si>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</si>
  <si>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</si>
  <si>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</si>
  <si>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</si>
  <si>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</si>
  <si>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</si>
  <si>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</si>
  <si>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</si>
  <si>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</si>
  <si>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</si>
  <si>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</si>
  <si>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</si>
  <si>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</si>
  <si>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</si>
  <si>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</si>
  <si>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</si>
  <si>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</si>
  <si>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</si>
  <si>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</si>
  <si>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</si>
  <si>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</si>
  <si>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</si>
  <si>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</si>
  <si>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</si>
  <si>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</si>
  <si>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</si>
  <si>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</si>
  <si>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</si>
  <si>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</si>
  <si>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</si>
  <si>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</si>
  <si>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</si>
  <si>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</si>
  <si>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</si>
  <si>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</si>
  <si>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</si>
  <si>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</si>
  <si>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</si>
  <si>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</si>
  <si>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</si>
  <si>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</si>
  <si>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</si>
  <si>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</si>
  <si>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</si>
  <si>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</si>
  <si>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</si>
  <si>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</si>
  <si>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</si>
  <si>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</si>
  <si>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</si>
  <si>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</si>
  <si>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</si>
  <si>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</si>
  <si>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</si>
  <si>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</si>
  <si>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</si>
  <si>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</si>
  <si>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</si>
  <si>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</si>
  <si>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</si>
  <si>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</si>
  <si>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</si>
  <si>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</si>
  <si>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</si>
  <si>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</si>
  <si>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</si>
  <si>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</si>
  <si>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</si>
  <si>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</si>
  <si>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</si>
  <si>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</si>
  <si>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</si>
  <si>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</si>
  <si>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</si>
  <si>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</si>
  <si>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</si>
  <si>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</si>
  <si>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</si>
  <si>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</si>
  <si>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</si>
  <si>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</si>
  <si>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</si>
  <si>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</si>
  <si>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</si>
  <si>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</si>
  <si>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</si>
  <si>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</si>
  <si>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</si>
  <si>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</si>
  <si>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</si>
  <si>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</si>
  <si>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</si>
  <si>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</si>
  <si>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</si>
  <si>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</si>
  <si>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</si>
  <si>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</si>
  <si>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</si>
  <si>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</si>
  <si>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</si>
  <si>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</si>
  <si>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</si>
  <si>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</si>
  <si>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</si>
  <si>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</si>
  <si>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</si>
  <si>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</si>
  <si>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</si>
  <si>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</si>
  <si>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</si>
  <si>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</si>
  <si>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</si>
  <si>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</si>
  <si>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</si>
  <si>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</si>
  <si>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</si>
  <si>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</si>
  <si>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</si>
  <si>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</si>
  <si>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</si>
  <si>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</si>
  <si>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</si>
  <si>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</si>
  <si>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</si>
  <si>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</si>
  <si>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</si>
  <si>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</si>
  <si>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</si>
  <si>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</si>
  <si>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</si>
  <si>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</si>
  <si>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</si>
  <si>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</si>
  <si>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</si>
  <si>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</si>
  <si>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</si>
  <si>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</si>
  <si>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</si>
  <si>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</si>
  <si>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</si>
  <si>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</si>
  <si>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</si>
  <si>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</si>
  <si>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</si>
  <si>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</si>
  <si>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</si>
  <si>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</si>
  <si>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</si>
  <si>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</si>
  <si>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</si>
  <si>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</si>
  <si>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</si>
  <si>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</si>
  <si>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</si>
  <si>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</si>
  <si>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</si>
  <si>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</si>
  <si>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</si>
  <si>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</si>
  <si>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</si>
  <si>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</si>
  <si>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</si>
  <si>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</si>
  <si>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</si>
  <si>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</si>
  <si>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</si>
  <si>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</si>
  <si>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</si>
  <si>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</si>
  <si>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</si>
  <si>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</si>
  <si>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</si>
  <si>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</si>
  <si>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</si>
  <si>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</si>
  <si>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</si>
  <si>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</si>
  <si>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</si>
  <si>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</si>
  <si>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</si>
  <si>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</si>
  <si>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</si>
  <si>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</si>
  <si>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</si>
  <si>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</si>
  <si>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</si>
  <si>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</si>
  <si>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</si>
  <si>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</si>
  <si>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</si>
  <si>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</si>
  <si>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</si>
  <si>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</si>
  <si>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</si>
  <si>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</si>
  <si>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</si>
  <si>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</si>
  <si>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</si>
  <si>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</si>
  <si>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</si>
  <si>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</si>
  <si>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</si>
  <si>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</si>
  <si>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</si>
  <si>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</si>
  <si>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</si>
  <si>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</si>
  <si>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</si>
  <si>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</si>
  <si>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</si>
  <si>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</si>
  <si>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</si>
  <si>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</si>
  <si>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</si>
  <si>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</si>
  <si>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</si>
  <si>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</si>
  <si>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</si>
  <si>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</si>
  <si>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</si>
  <si>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</si>
  <si>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</si>
  <si>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</si>
  <si>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</si>
  <si>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</si>
  <si>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</si>
  <si>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</si>
  <si>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</si>
  <si>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</si>
  <si>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</si>
  <si>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</si>
  <si>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</si>
  <si>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</si>
  <si>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</si>
  <si>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</si>
  <si>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</si>
  <si>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</si>
  <si>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</si>
  <si>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</si>
  <si>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</si>
  <si>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</si>
  <si>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</si>
  <si>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</si>
  <si>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</si>
  <si>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</si>
  <si>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</si>
  <si>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</si>
  <si>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</si>
  <si>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</si>
  <si>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</si>
  <si>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</si>
  <si>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</si>
  <si>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</si>
  <si>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</si>
  <si>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</si>
  <si>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</si>
  <si>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</si>
  <si>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</si>
  <si>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</si>
  <si>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</si>
  <si>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</si>
  <si>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</si>
  <si>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</si>
  <si>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</si>
  <si>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</si>
  <si>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</si>
  <si>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</si>
  <si>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</si>
  <si>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</si>
  <si>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</si>
  <si>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</si>
  <si>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</si>
  <si>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</si>
  <si>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</si>
  <si>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</si>
  <si>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</si>
  <si>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</si>
  <si>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</si>
  <si>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</si>
  <si>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</si>
  <si>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</si>
  <si>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</si>
  <si>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</si>
  <si>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</si>
  <si>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</si>
  <si>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</si>
  <si>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</si>
  <si>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</si>
  <si>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</si>
  <si>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</si>
  <si>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</si>
  <si>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</si>
  <si>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</si>
  <si>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</si>
  <si>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</si>
  <si>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</si>
  <si>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</si>
  <si>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</si>
  <si>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</si>
  <si>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</si>
  <si>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</si>
  <si>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</si>
  <si>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</si>
  <si>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</si>
  <si>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</si>
  <si>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</si>
  <si>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</si>
  <si>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</si>
  <si>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</si>
  <si>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</si>
  <si>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</si>
  <si>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</si>
  <si>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</si>
  <si>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</si>
  <si>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</si>
  <si>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</si>
  <si>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</si>
  <si>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</si>
  <si>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</si>
  <si>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</si>
  <si>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</si>
  <si>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</si>
  <si>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</si>
  <si>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</si>
  <si>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</si>
  <si>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</si>
  <si>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</si>
  <si>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</si>
  <si>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</si>
  <si>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</si>
  <si>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</si>
  <si>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</si>
  <si>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</si>
  <si>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</si>
  <si>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</si>
  <si>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</si>
  <si>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</si>
  <si>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</si>
  <si>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</si>
  <si>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</si>
  <si>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</si>
  <si>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</si>
  <si>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</si>
  <si>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</si>
  <si>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</si>
  <si>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</si>
  <si>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</si>
  <si>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</si>
  <si>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</si>
  <si>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</si>
  <si>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</si>
  <si>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</si>
  <si>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</si>
  <si>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</si>
  <si>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</si>
  <si>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</si>
  <si>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</si>
  <si>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</si>
  <si>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</si>
  <si>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</si>
  <si>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</si>
  <si>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</si>
  <si>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</si>
  <si>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</si>
  <si>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</si>
  <si>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</si>
  <si>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</si>
  <si>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</si>
  <si>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</si>
  <si>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</si>
  <si>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</si>
  <si>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</si>
  <si>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</si>
  <si>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</si>
  <si>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</si>
  <si>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</si>
  <si>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</si>
  <si>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</si>
  <si>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</si>
  <si>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</si>
  <si>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</si>
  <si>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</si>
  <si>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</si>
  <si>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</si>
  <si>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</si>
  <si>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</si>
  <si>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</si>
  <si>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</si>
  <si>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</si>
  <si>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</si>
  <si>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</si>
  <si>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</si>
  <si>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</si>
  <si>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</si>
  <si>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</si>
  <si>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</si>
  <si>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</si>
  <si>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</si>
  <si>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</si>
  <si>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</si>
  <si>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</si>
  <si>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</si>
  <si>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</si>
  <si>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</si>
  <si>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</si>
  <si>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</si>
  <si>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</si>
  <si>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</si>
  <si>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</si>
  <si>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</si>
  <si>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</si>
  <si>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</si>
  <si>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</si>
  <si>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</si>
  <si>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</si>
  <si>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</si>
  <si>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</si>
  <si>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</si>
  <si>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</si>
  <si>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</si>
  <si>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</si>
  <si>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</si>
  <si>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</si>
  <si>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</si>
  <si>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</si>
  <si>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</si>
  <si>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</si>
  <si>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</si>
  <si>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</si>
  <si>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</si>
  <si>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</si>
  <si>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</si>
  <si>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</si>
  <si>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</si>
  <si>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</si>
  <si>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</si>
  <si>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</si>
  <si>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</si>
  <si>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</si>
  <si>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</si>
  <si>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</si>
  <si>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</si>
  <si>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</si>
  <si>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</si>
  <si>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</si>
  <si>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</si>
  <si>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</si>
  <si>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</si>
  <si>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</si>
  <si>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</si>
  <si>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</si>
  <si>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</si>
  <si>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</si>
  <si>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</si>
  <si>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</si>
  <si>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</si>
  <si>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</si>
  <si>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</si>
  <si>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</si>
  <si>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</si>
  <si>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</si>
  <si>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</si>
  <si>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</si>
  <si>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</si>
  <si>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</si>
  <si>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</si>
  <si>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</si>
  <si>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</si>
  <si>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</si>
  <si>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</si>
  <si>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</si>
  <si>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</si>
  <si>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</si>
  <si>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</si>
  <si>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</si>
  <si>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</si>
  <si>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</si>
  <si>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</si>
  <si>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</si>
  <si>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</si>
  <si>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</si>
  <si>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</si>
  <si>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</si>
  <si>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</si>
  <si>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</si>
  <si>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</si>
  <si>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</si>
  <si>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</si>
  <si>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</si>
  <si>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</si>
  <si>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</si>
  <si>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</si>
  <si>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</si>
  <si>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</si>
  <si>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</si>
  <si>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</si>
  <si>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</si>
  <si>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</si>
  <si>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</si>
  <si>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</si>
  <si>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</si>
  <si>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</si>
  <si>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</si>
  <si>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</si>
  <si>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</si>
  <si>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</si>
  <si>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</si>
  <si>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</si>
  <si>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</si>
  <si>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</si>
  <si>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</si>
  <si>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</si>
  <si>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</si>
  <si>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</si>
  <si>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</si>
  <si>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</si>
  <si>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</si>
  <si>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</si>
  <si>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</si>
  <si>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</si>
  <si>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</si>
  <si>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</si>
  <si>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</si>
  <si>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</si>
  <si>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</si>
  <si>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</si>
  <si>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</si>
  <si>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</si>
  <si>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</si>
  <si>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</si>
  <si>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</si>
  <si>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</si>
  <si>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</si>
  <si>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</si>
  <si>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</si>
  <si>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</si>
  <si>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</si>
  <si>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</si>
  <si>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</si>
  <si>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</si>
  <si>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</si>
  <si>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</si>
  <si>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</si>
  <si>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</si>
  <si>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</si>
  <si>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</si>
  <si>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</si>
  <si>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</si>
  <si>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</si>
  <si>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</si>
  <si>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</si>
  <si>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</si>
  <si>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</si>
  <si>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</si>
  <si>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</si>
  <si>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</si>
  <si>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</si>
  <si>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</si>
  <si>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</si>
  <si>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</si>
  <si>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</si>
  <si>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</si>
  <si>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</si>
  <si>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</si>
  <si>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</si>
  <si>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</si>
  <si>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</si>
  <si>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</si>
  <si>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</si>
  <si>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</si>
  <si>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</si>
  <si>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</si>
  <si>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</si>
  <si>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</si>
  <si>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</si>
  <si>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</si>
  <si>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</si>
  <si>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</si>
  <si>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</si>
  <si>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</si>
  <si>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</si>
  <si>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</si>
  <si>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</si>
  <si>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</si>
  <si>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</si>
  <si>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</si>
  <si>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</si>
  <si>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</si>
  <si>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</si>
  <si>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</si>
  <si>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</si>
  <si>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</si>
  <si>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</si>
  <si>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</si>
  <si>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</si>
  <si>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</si>
  <si>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</si>
  <si>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</si>
  <si>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</si>
  <si>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</si>
  <si>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</si>
  <si>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</si>
  <si>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</si>
  <si>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</si>
  <si>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</si>
  <si>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</si>
  <si>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</si>
  <si>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</si>
  <si>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</si>
  <si>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</si>
  <si>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</si>
  <si>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</si>
  <si>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</si>
  <si>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</si>
  <si>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</si>
  <si>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</si>
  <si>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</si>
  <si>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</si>
  <si>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</si>
  <si>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</si>
  <si>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</si>
  <si>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</si>
  <si>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</si>
  <si>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</si>
  <si>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</si>
  <si>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</si>
  <si>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</si>
  <si>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</si>
  <si>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</si>
  <si>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</si>
  <si>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</si>
  <si>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</si>
  <si>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</si>
  <si>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</si>
  <si>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</si>
  <si>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</si>
  <si>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</si>
  <si>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</si>
  <si>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</si>
  <si>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</si>
  <si>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</si>
  <si>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</si>
  <si>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</si>
  <si>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</si>
  <si>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</si>
  <si>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</si>
  <si>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</si>
  <si>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</si>
  <si>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</si>
  <si>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</si>
  <si>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</si>
  <si>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</si>
  <si>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</si>
  <si>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</si>
  <si>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</si>
  <si>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</si>
  <si>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</si>
  <si>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</si>
  <si>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</si>
  <si>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</si>
  <si>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</si>
  <si>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</si>
  <si>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</si>
  <si>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</si>
  <si>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</si>
  <si>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</si>
  <si>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</si>
  <si>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</si>
  <si>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</si>
  <si>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</si>
  <si>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</si>
  <si>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</si>
  <si>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</si>
  <si>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</si>
  <si>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</si>
  <si>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</si>
  <si>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</si>
  <si>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</si>
  <si>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</si>
  <si>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</si>
  <si>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</si>
  <si>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</si>
  <si>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</si>
  <si>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</si>
  <si>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</si>
  <si>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</si>
  <si>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</si>
  <si>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</si>
  <si>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</si>
  <si>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</si>
  <si>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</si>
  <si>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</si>
  <si>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</si>
  <si>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</si>
  <si>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</si>
  <si>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</si>
  <si>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</si>
  <si>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</si>
  <si>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</si>
  <si>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</si>
  <si>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</si>
  <si>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</si>
  <si>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</si>
  <si>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</si>
  <si>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</si>
  <si>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</si>
  <si>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</si>
  <si>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</si>
  <si>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</si>
  <si>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</si>
  <si>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</si>
  <si>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</si>
  <si>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</si>
  <si>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</si>
  <si>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</si>
  <si>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</si>
  <si>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</si>
  <si>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</si>
  <si>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</si>
  <si>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</si>
  <si>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</si>
  <si>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</si>
  <si>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</si>
  <si>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</si>
  <si>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</si>
  <si>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</si>
  <si>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</si>
  <si>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</si>
  <si>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</si>
  <si>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</si>
  <si>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</si>
  <si>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</si>
  <si>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</si>
  <si>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</si>
  <si>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</si>
  <si>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</si>
  <si>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</si>
  <si>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</si>
  <si>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</si>
  <si>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</si>
  <si>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</si>
  <si>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</si>
  <si>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</si>
  <si>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</si>
  <si>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</si>
  <si>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</si>
  <si>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</si>
  <si>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</si>
  <si>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</si>
  <si>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</si>
  <si>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</si>
  <si>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</si>
  <si>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</si>
  <si>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</si>
  <si>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</si>
  <si>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</si>
  <si>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</si>
  <si>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</si>
  <si>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</si>
  <si>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</si>
  <si>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</si>
  <si>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</si>
  <si>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</si>
  <si>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</si>
  <si>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</si>
  <si>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</si>
  <si>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</si>
  <si>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</si>
  <si>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</si>
  <si>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</si>
  <si>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</si>
  <si>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</si>
  <si>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</si>
  <si>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</si>
  <si>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</si>
  <si>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</si>
  <si>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</si>
  <si>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</si>
  <si>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</si>
  <si>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</si>
  <si>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</si>
  <si>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</si>
  <si>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</si>
  <si>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</si>
  <si>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</si>
  <si>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</si>
  <si>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</si>
  <si>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</si>
  <si>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</si>
  <si>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</si>
  <si>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</si>
  <si>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</si>
  <si>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</si>
  <si>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</si>
  <si>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</si>
  <si>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</si>
  <si>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</si>
  <si>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</si>
  <si>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</si>
  <si>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</si>
  <si>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</si>
  <si>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</si>
  <si>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</si>
  <si>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</si>
  <si>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</si>
  <si>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</si>
  <si>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</si>
  <si>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</si>
  <si>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</si>
  <si>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</si>
  <si>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</si>
  <si>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</si>
  <si>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</si>
  <si>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</si>
  <si>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</si>
  <si>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</si>
  <si>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</si>
  <si>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</si>
  <si>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</si>
  <si>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</si>
  <si>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</si>
  <si>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</si>
  <si>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</si>
  <si>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</si>
  <si>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</si>
  <si>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</si>
  <si>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</si>
  <si>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</si>
  <si>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</si>
  <si>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</si>
  <si>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</si>
  <si>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</si>
  <si>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</si>
  <si>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</si>
  <si>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</si>
  <si>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</si>
  <si>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</si>
  <si>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</si>
  <si>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</si>
  <si>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</si>
  <si>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</si>
  <si>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</si>
  <si>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</si>
  <si>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</si>
  <si>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</si>
  <si>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</si>
  <si>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</si>
  <si>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</si>
  <si>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</si>
  <si>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</si>
  <si>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</si>
  <si>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</si>
  <si>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</si>
  <si>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</si>
  <si>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</si>
  <si>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</si>
  <si>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</si>
  <si>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</si>
  <si>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</si>
  <si>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</si>
  <si>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</si>
  <si>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</si>
  <si>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</si>
  <si>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</si>
  <si>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</si>
  <si>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</si>
  <si>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</si>
  <si>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</si>
  <si>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</si>
  <si>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</si>
  <si>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</si>
  <si>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</si>
  <si>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</si>
  <si>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</si>
  <si>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</si>
  <si>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</si>
  <si>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</si>
  <si>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</si>
  <si>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</si>
  <si>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</si>
  <si>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</si>
  <si>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</si>
  <si>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</si>
  <si>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</si>
  <si>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</si>
  <si>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</si>
  <si>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</si>
  <si>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</si>
  <si>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</si>
  <si>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</si>
  <si>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</si>
  <si>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</si>
  <si>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</si>
  <si>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</si>
  <si>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</si>
  <si>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</si>
  <si>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</si>
  <si>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</si>
  <si>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</si>
  <si>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</si>
  <si>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</si>
  <si>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</si>
  <si>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</si>
  <si>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</si>
  <si>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</si>
  <si>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</si>
  <si>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</si>
  <si>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</si>
  <si>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</si>
  <si>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</si>
  <si>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</si>
  <si>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</si>
  <si>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</si>
  <si>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</si>
  <si>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</si>
  <si>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</si>
  <si>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</si>
  <si>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</si>
  <si>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</si>
  <si>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</si>
  <si>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</si>
  <si>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</si>
  <si>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</si>
  <si>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</si>
  <si>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</si>
  <si>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</si>
  <si>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</si>
  <si>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</si>
  <si>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</si>
  <si>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</si>
  <si>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</si>
  <si>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</si>
  <si>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</si>
  <si>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</si>
  <si>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</si>
  <si>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</si>
  <si>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</si>
  <si>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</si>
  <si>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</si>
  <si>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</si>
  <si>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</si>
  <si>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</si>
  <si>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</si>
  <si>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</si>
  <si>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</si>
  <si>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</si>
  <si>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</si>
  <si>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</si>
  <si>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</si>
  <si>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</si>
  <si>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</si>
  <si>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</si>
  <si>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</si>
  <si>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</si>
  <si>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</si>
  <si>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</si>
  <si>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</si>
  <si>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</si>
  <si>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</si>
  <si>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</si>
  <si>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</si>
  <si>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</si>
  <si>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</si>
  <si>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</si>
  <si>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</si>
  <si>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</si>
  <si>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</si>
  <si>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</si>
  <si>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</si>
  <si>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</si>
  <si>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</si>
  <si>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</si>
  <si>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</si>
  <si>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</si>
  <si>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</si>
  <si>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</si>
  <si>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</si>
  <si>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</si>
  <si>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</si>
  <si>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</si>
  <si>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</si>
  <si>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</si>
  <si>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</si>
  <si>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</si>
  <si>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</si>
  <si>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</si>
  <si>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</si>
  <si>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</si>
  <si>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</si>
  <si>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</si>
  <si>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</si>
  <si>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</si>
  <si>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</si>
  <si>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</si>
  <si>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</si>
  <si>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</si>
  <si>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</si>
  <si>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</si>
  <si>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</si>
  <si>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</si>
  <si>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</si>
  <si>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</si>
  <si>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</si>
  <si>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</si>
  <si>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</si>
  <si>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</si>
  <si>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</si>
  <si>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</si>
  <si>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</si>
  <si>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</si>
  <si>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</si>
  <si>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</si>
  <si>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</si>
  <si>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</si>
  <si>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</si>
  <si>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</si>
  <si>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</si>
  <si>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</si>
  <si>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</si>
  <si>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</si>
  <si>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</si>
  <si>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</si>
  <si>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</si>
  <si>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</si>
  <si>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</si>
  <si>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</si>
  <si>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</si>
  <si>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</si>
  <si>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</si>
  <si>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</si>
  <si>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</si>
  <si>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</si>
  <si>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</si>
  <si>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</si>
  <si>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</si>
  <si>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</si>
  <si>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</si>
  <si>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</si>
  <si>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</si>
  <si>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</si>
  <si>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</si>
  <si>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</si>
  <si>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</si>
  <si>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</si>
  <si>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</si>
  <si>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</si>
  <si>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</si>
  <si>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</si>
  <si>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</si>
  <si>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</si>
  <si>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</si>
  <si>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</si>
  <si>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</si>
  <si>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</si>
  <si>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</si>
  <si>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</si>
  <si>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</si>
  <si>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</si>
  <si>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</si>
  <si>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</si>
  <si>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</si>
  <si>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</si>
  <si>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</si>
  <si>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</si>
  <si>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</si>
  <si>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</si>
  <si>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</si>
  <si>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</si>
  <si>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</si>
  <si>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</si>
  <si>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</si>
  <si>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</si>
  <si>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</si>
  <si>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</si>
  <si>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</si>
  <si>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</si>
  <si>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</si>
  <si>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</si>
  <si>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</si>
  <si>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</si>
  <si>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</si>
  <si>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</si>
  <si>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</si>
  <si>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</si>
  <si>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</si>
  <si>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</si>
  <si>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</si>
  <si>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</si>
  <si>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</si>
  <si>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</si>
  <si>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</si>
  <si>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</si>
  <si>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</si>
  <si>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</si>
  <si>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</si>
  <si>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</si>
  <si>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</si>
  <si>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</si>
  <si>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</si>
  <si>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</si>
  <si>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</si>
  <si>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</si>
  <si>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</si>
  <si>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</si>
  <si>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</si>
  <si>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</si>
  <si>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</si>
  <si>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</si>
  <si>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</si>
  <si>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</si>
  <si>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</si>
  <si>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</si>
  <si>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</si>
  <si>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</si>
  <si>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</si>
  <si>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</si>
  <si>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</si>
  <si>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</si>
  <si>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</si>
  <si>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</si>
  <si>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</si>
  <si>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</si>
  <si>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</si>
  <si>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</si>
  <si>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</si>
  <si>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</si>
  <si>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</si>
  <si>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</si>
  <si>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</si>
  <si>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</si>
  <si>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</si>
  <si>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</si>
  <si>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</si>
  <si>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</si>
  <si>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</si>
  <si>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</si>
  <si>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</si>
  <si>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</si>
  <si>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</si>
  <si>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</si>
  <si>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</si>
  <si>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</si>
  <si>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</si>
  <si>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</si>
  <si>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</si>
  <si>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</si>
  <si>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</si>
  <si>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</si>
  <si>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</si>
  <si>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</si>
  <si>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</si>
  <si>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</si>
  <si>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</si>
  <si>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</si>
  <si>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</si>
  <si>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</si>
  <si>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</si>
  <si>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</si>
  <si>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</si>
  <si>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</si>
  <si>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</si>
  <si>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</si>
  <si>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</si>
  <si>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</si>
  <si>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</si>
  <si>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</si>
  <si>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</si>
  <si>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</si>
  <si>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</si>
  <si>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</si>
  <si>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</si>
  <si>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</si>
  <si>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</si>
  <si>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</si>
  <si>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</si>
  <si>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</si>
  <si>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</si>
  <si>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</si>
  <si>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</si>
  <si>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</si>
  <si>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</si>
  <si>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</si>
  <si>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</si>
  <si>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</si>
  <si>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</si>
  <si>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</si>
  <si>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</si>
  <si>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</si>
  <si>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</si>
  <si>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</si>
  <si>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</si>
  <si>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</si>
  <si>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</si>
  <si>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</si>
  <si>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</si>
  <si>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</si>
  <si>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</si>
  <si>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</si>
  <si>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</si>
  <si>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</si>
  <si>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</si>
  <si>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</si>
  <si>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</si>
  <si>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</si>
  <si>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</si>
  <si>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</si>
  <si>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</si>
  <si>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</si>
  <si>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</si>
  <si>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</si>
  <si>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</si>
  <si>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</si>
  <si>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</si>
  <si>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</si>
  <si>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</si>
  <si>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</si>
  <si>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</si>
  <si>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</si>
  <si>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</si>
  <si>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</si>
  <si>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</si>
  <si>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</si>
  <si>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</si>
  <si>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</si>
  <si>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</si>
  <si>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</si>
  <si>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</si>
  <si>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</si>
  <si>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</si>
  <si>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</si>
  <si>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</si>
  <si>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</si>
  <si>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</si>
  <si>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</si>
  <si>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</si>
  <si>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</si>
  <si>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</si>
  <si>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</si>
  <si>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</si>
  <si>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</si>
  <si>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</si>
  <si>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</si>
  <si>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</si>
  <si>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</si>
  <si>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</si>
  <si>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</si>
  <si>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</si>
  <si>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</si>
  <si>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</si>
  <si>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</si>
  <si>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</si>
  <si>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</si>
  <si>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</si>
  <si>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</si>
  <si>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</si>
  <si>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</si>
  <si>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</si>
  <si>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</si>
  <si>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</si>
  <si>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</si>
  <si>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</si>
  <si>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</si>
  <si>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</si>
  <si>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</si>
  <si>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</si>
  <si>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</si>
  <si>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</si>
  <si>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</si>
  <si>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</si>
  <si>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</si>
  <si>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</si>
  <si>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</si>
  <si>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</si>
  <si>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</si>
  <si>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</si>
  <si>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</si>
  <si>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</si>
  <si>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</si>
  <si>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</si>
  <si>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</si>
  <si>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</si>
  <si>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</si>
  <si>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</si>
  <si>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</si>
  <si>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</si>
  <si>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</si>
  <si>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</si>
  <si>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</si>
  <si>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</si>
  <si>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</si>
  <si>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</si>
  <si>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</si>
  <si>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</si>
  <si>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</si>
  <si>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</si>
  <si>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</si>
  <si>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</si>
  <si>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</si>
  <si>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</si>
  <si>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</si>
  <si>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</si>
  <si>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</si>
  <si>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</si>
  <si>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</si>
  <si>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</si>
  <si>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</si>
  <si>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</si>
  <si>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</si>
  <si>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</si>
  <si>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</si>
  <si>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</si>
  <si>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</si>
  <si>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</si>
  <si>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</si>
  <si>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</si>
  <si>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</si>
  <si>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</si>
  <si>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</si>
  <si>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</si>
  <si>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</si>
  <si>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</si>
  <si>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</si>
  <si>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</si>
  <si>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</si>
  <si>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</si>
  <si>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</si>
  <si>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</si>
  <si>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</si>
  <si>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</si>
  <si>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</si>
  <si>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</si>
  <si>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</si>
  <si>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</si>
  <si>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</si>
  <si>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</si>
  <si>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</si>
  <si>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</si>
  <si>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</si>
  <si>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</si>
  <si>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</si>
  <si>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</si>
  <si>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</si>
  <si>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</si>
  <si>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</si>
  <si>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</si>
  <si>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</si>
  <si>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</si>
  <si>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</si>
  <si>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</si>
  <si>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</si>
  <si>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</si>
  <si>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</si>
  <si>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</si>
  <si>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</si>
  <si>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</si>
  <si>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</si>
  <si>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</si>
  <si>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</si>
  <si>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</si>
  <si>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</si>
  <si>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</si>
  <si>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</si>
  <si>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</si>
  <si>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</si>
  <si>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</si>
  <si>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</si>
  <si>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</si>
  <si>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</si>
  <si>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</si>
  <si>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</si>
  <si>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</si>
  <si>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</si>
  <si>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</si>
  <si>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</si>
  <si>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</si>
  <si>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</si>
  <si>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</si>
  <si>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</si>
  <si>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</si>
  <si>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</si>
  <si>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</si>
  <si>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</si>
  <si>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</si>
  <si>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</si>
  <si>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</si>
  <si>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</si>
  <si>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</si>
  <si>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</si>
  <si>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</si>
  <si>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</si>
  <si>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</si>
  <si>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</si>
  <si>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</si>
  <si>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</si>
  <si>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</si>
  <si>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</si>
  <si>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</si>
  <si>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</si>
  <si>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</si>
  <si>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</si>
  <si>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</si>
  <si>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</si>
  <si>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</si>
  <si>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</si>
  <si>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</si>
  <si>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</si>
  <si>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</si>
  <si>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</si>
  <si>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</si>
  <si>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</si>
  <si>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</si>
  <si>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</si>
  <si>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</si>
  <si>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</si>
  <si>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</si>
  <si>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</si>
  <si>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</si>
  <si>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</si>
  <si>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</si>
  <si>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</si>
  <si>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</si>
  <si>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</si>
  <si>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</si>
  <si>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</si>
  <si>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</si>
  <si>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</si>
  <si>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</si>
  <si>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</si>
  <si>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</si>
  <si>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</si>
  <si>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</si>
  <si>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</si>
  <si>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</si>
  <si>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</si>
  <si>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</si>
  <si>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</si>
  <si>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</si>
  <si>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</si>
  <si>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</si>
  <si>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</si>
  <si>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</si>
  <si>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</si>
  <si>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</si>
  <si>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</si>
  <si>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</si>
  <si>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</si>
  <si>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</si>
  <si>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</si>
  <si>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</si>
  <si>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</si>
  <si>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</si>
  <si>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</si>
  <si>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</si>
  <si>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</si>
  <si>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</si>
  <si>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</si>
  <si>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</si>
  <si>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</si>
  <si>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</si>
  <si>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</si>
  <si>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</si>
  <si>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</si>
  <si>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</si>
  <si>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</si>
  <si>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</si>
  <si>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</si>
  <si>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</si>
  <si>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</si>
  <si>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</si>
  <si>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</si>
  <si>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</si>
  <si>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</si>
  <si>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</si>
  <si>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</si>
  <si>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</si>
  <si>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</si>
  <si>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</si>
  <si>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</si>
  <si>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</si>
  <si>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</si>
  <si>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</si>
  <si>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</si>
  <si>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</si>
  <si>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</si>
  <si>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</si>
  <si>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</si>
  <si>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</si>
  <si>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</si>
  <si>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</si>
  <si>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</si>
  <si>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</si>
  <si>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</si>
  <si>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</si>
  <si>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</si>
  <si>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</si>
  <si>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</si>
  <si>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</si>
  <si>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</si>
  <si>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</si>
  <si>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</si>
  <si>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</si>
  <si>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</si>
  <si>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</si>
  <si>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</si>
  <si>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</si>
  <si>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</si>
  <si>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</si>
  <si>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</si>
  <si>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</si>
  <si>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</si>
  <si>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</si>
  <si>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</si>
  <si>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</si>
  <si>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</si>
  <si>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</si>
  <si>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</si>
  <si>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</si>
  <si>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</si>
  <si>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</si>
  <si>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</si>
  <si>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</si>
  <si>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</si>
  <si>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</si>
  <si>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</si>
  <si>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</si>
  <si>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</si>
  <si>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</si>
  <si>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</si>
  <si>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</si>
  <si>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</si>
  <si>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</si>
  <si>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</si>
  <si>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</si>
  <si>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</si>
  <si>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</si>
  <si>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</si>
  <si>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</si>
  <si>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</si>
  <si>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</si>
  <si>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</si>
  <si>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</si>
  <si>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</si>
  <si>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</si>
  <si>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</si>
  <si>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</si>
  <si>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</si>
  <si>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</si>
  <si>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</si>
  <si>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</si>
  <si>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</si>
  <si>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</si>
  <si>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</si>
  <si>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</si>
  <si>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</si>
  <si>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</si>
  <si>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</si>
  <si>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</si>
  <si>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</si>
  <si>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</si>
  <si>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</si>
  <si>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</si>
  <si>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</si>
  <si>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</si>
  <si>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</si>
  <si>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</si>
  <si>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</si>
  <si>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</si>
  <si>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</si>
  <si>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</si>
  <si>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</si>
  <si>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</si>
  <si>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</si>
  <si>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</si>
  <si>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</si>
  <si>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</si>
  <si>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</si>
  <si>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</si>
  <si>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</si>
  <si>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</si>
  <si>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</si>
  <si>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</si>
  <si>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</si>
  <si>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</si>
  <si>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</si>
  <si>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</si>
  <si>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</si>
  <si>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</si>
  <si>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</si>
  <si>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</si>
  <si>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</si>
  <si>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</si>
  <si>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</si>
  <si>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</si>
  <si>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</si>
  <si>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</si>
  <si>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</si>
  <si>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</si>
  <si>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</si>
  <si>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</si>
  <si>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</si>
  <si>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</si>
  <si>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</si>
  <si>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</si>
  <si>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</si>
  <si>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</si>
  <si>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</si>
  <si>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</si>
  <si>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</si>
  <si>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</si>
  <si>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</si>
  <si>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</si>
  <si>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</si>
  <si>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</si>
  <si>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</si>
  <si>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</si>
  <si>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</si>
  <si>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</si>
  <si>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</si>
  <si>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</si>
  <si>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</si>
  <si>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</si>
  <si>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</si>
  <si>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</si>
  <si>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</si>
  <si>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</si>
  <si>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</si>
  <si>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</si>
  <si>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</si>
  <si>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</si>
  <si>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</si>
  <si>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</si>
  <si>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</si>
  <si>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</si>
  <si>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</si>
  <si>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</si>
  <si>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</si>
  <si>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</si>
  <si>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</si>
  <si>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</si>
  <si>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</si>
  <si>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</si>
  <si>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</si>
  <si>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</si>
  <si>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</si>
  <si>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</si>
  <si>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</si>
  <si>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</si>
  <si>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</si>
  <si>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</si>
  <si>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</si>
  <si>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</si>
  <si>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</si>
  <si>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</si>
  <si>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</si>
  <si>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</si>
  <si>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</si>
  <si>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</si>
  <si>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</si>
  <si>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</si>
  <si>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</si>
  <si>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</si>
  <si>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</si>
  <si>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</si>
  <si>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</si>
  <si>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</si>
  <si>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</si>
  <si>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</si>
  <si>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</si>
  <si>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</si>
  <si>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</si>
  <si>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</si>
  <si>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</si>
  <si>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</si>
  <si>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</si>
  <si>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</si>
  <si>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</si>
  <si>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</si>
  <si>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</si>
  <si>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</si>
  <si>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</si>
  <si>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</si>
  <si>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</si>
  <si>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</si>
  <si>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</si>
  <si>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</si>
  <si>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</si>
  <si>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</si>
  <si>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</si>
  <si>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</si>
  <si>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</si>
  <si>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</si>
  <si>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</si>
  <si>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</si>
  <si>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</si>
  <si>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</si>
  <si>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</si>
  <si>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</si>
  <si>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</si>
  <si>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</si>
  <si>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</si>
  <si>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</si>
  <si>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</si>
  <si>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</si>
  <si>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</si>
  <si>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</si>
  <si>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</si>
  <si>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</si>
  <si>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</si>
  <si>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</si>
  <si>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</si>
  <si>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</si>
  <si>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</si>
  <si>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</si>
  <si>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</si>
  <si>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</si>
  <si>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</si>
  <si>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</si>
  <si>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</si>
  <si>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</si>
  <si>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</si>
  <si>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</si>
  <si>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</si>
  <si>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</si>
  <si>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</si>
  <si>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</si>
  <si>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</si>
  <si>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</si>
  <si>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</si>
  <si>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</si>
  <si>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</si>
  <si>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</si>
  <si>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</si>
  <si>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</si>
  <si>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</si>
  <si>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</si>
  <si>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</si>
  <si>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</si>
  <si>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</si>
  <si>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</si>
  <si>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</si>
  <si>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</si>
  <si>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</si>
  <si>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</si>
  <si>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</si>
  <si>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</si>
  <si>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</si>
  <si>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</si>
  <si>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</si>
  <si>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</si>
  <si>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</si>
  <si>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</si>
  <si>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</si>
  <si>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</si>
  <si>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</si>
  <si>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</si>
  <si>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</si>
  <si>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</si>
  <si>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</si>
  <si>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</si>
  <si>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</si>
  <si>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</si>
  <si>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</si>
  <si>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</si>
  <si>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</si>
  <si>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</si>
  <si>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</si>
  <si>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</si>
  <si>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</si>
  <si>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</si>
  <si>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</si>
  <si>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</si>
  <si>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</si>
  <si>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</si>
  <si>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</si>
  <si>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</si>
  <si>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</si>
  <si>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</si>
  <si>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</si>
  <si>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</si>
  <si>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</si>
  <si>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</si>
  <si>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</si>
  <si>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</si>
  <si>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</si>
  <si>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</si>
  <si>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</si>
  <si>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</si>
  <si>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</si>
  <si>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</si>
  <si>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</si>
  <si>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</si>
  <si>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</si>
  <si>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</si>
  <si>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</si>
  <si>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</si>
  <si>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</si>
  <si>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</si>
  <si>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</si>
  <si>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</si>
  <si>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</si>
  <si>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</si>
  <si>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</si>
  <si>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</si>
  <si>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</si>
  <si>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</si>
  <si>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</si>
  <si>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</si>
  <si>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</si>
  <si>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</si>
  <si>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</si>
  <si>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</si>
  <si>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</si>
  <si>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</si>
  <si>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</si>
  <si>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</si>
  <si>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</si>
  <si>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</si>
  <si>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</si>
  <si>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</si>
  <si>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</si>
  <si>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</si>
  <si>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</si>
  <si>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</si>
  <si>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</si>
  <si>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</si>
  <si>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</si>
  <si>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</si>
  <si>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</si>
  <si>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</si>
  <si>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</si>
  <si>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</si>
  <si>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</si>
  <si>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</si>
  <si>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</si>
  <si>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</si>
  <si>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</si>
  <si>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</si>
  <si>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</si>
  <si>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</si>
  <si>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</si>
  <si>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</si>
  <si>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</si>
  <si>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</si>
  <si>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</si>
  <si>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</si>
  <si>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</si>
  <si>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</si>
  <si>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</si>
  <si>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</si>
  <si>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</si>
  <si>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</si>
  <si>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</si>
  <si>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</si>
  <si>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</si>
  <si>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</si>
  <si>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</si>
  <si>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</si>
  <si>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</si>
  <si>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</si>
  <si>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</si>
  <si>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</si>
  <si>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</si>
  <si>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</si>
  <si>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</si>
  <si>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</si>
  <si>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</si>
  <si>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</si>
  <si>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</si>
  <si>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</si>
  <si>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</si>
  <si>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</si>
  <si>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</si>
  <si>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</si>
  <si>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</si>
  <si>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</si>
  <si>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</si>
  <si>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</si>
  <si>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</si>
  <si>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</si>
  <si>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</si>
  <si>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</si>
  <si>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</si>
  <si>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</si>
  <si>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</si>
  <si>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</si>
  <si>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</si>
  <si>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</si>
  <si>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</si>
  <si>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</si>
  <si>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</si>
  <si>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</si>
  <si>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</si>
  <si>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</si>
  <si>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</si>
  <si>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</si>
  <si>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</si>
  <si>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</si>
  <si>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</si>
  <si>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</si>
  <si>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</si>
  <si>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</si>
  <si>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</si>
  <si>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</si>
  <si>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</si>
  <si>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</si>
  <si>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</si>
  <si>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</si>
  <si>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</si>
  <si>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</si>
  <si>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</si>
  <si>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</si>
  <si>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</si>
  <si>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</si>
  <si>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</si>
  <si>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</si>
  <si>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</si>
  <si>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</si>
  <si>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</si>
  <si>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</si>
  <si>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</si>
  <si>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</si>
  <si>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</si>
  <si>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</si>
  <si>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</si>
  <si>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</si>
  <si>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</si>
  <si>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</si>
  <si>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</si>
  <si>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</si>
  <si>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</si>
  <si>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</si>
  <si>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</si>
  <si>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</si>
  <si>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</si>
  <si>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</si>
  <si>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</si>
  <si>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</si>
  <si>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</si>
  <si>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</si>
  <si>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</si>
  <si>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</si>
  <si>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</si>
  <si>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</si>
  <si>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</si>
  <si>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</si>
  <si>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</si>
  <si>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</si>
  <si>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</si>
  <si>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</si>
  <si>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</si>
  <si>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</si>
  <si>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</si>
  <si>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</si>
  <si>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</si>
  <si>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</si>
  <si>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</si>
  <si>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</si>
  <si>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</si>
  <si>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</si>
  <si>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</si>
  <si>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</si>
  <si>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</si>
  <si>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</si>
  <si>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</si>
  <si>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</si>
  <si>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</si>
  <si>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</si>
  <si>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</si>
  <si>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</si>
  <si>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</si>
  <si>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</si>
  <si>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</si>
  <si>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</si>
  <si>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</si>
  <si>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</si>
  <si>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</si>
  <si>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</si>
  <si>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</si>
  <si>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</si>
  <si>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</si>
  <si>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</si>
  <si>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</si>
  <si>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</si>
  <si>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</si>
  <si>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</si>
  <si>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</si>
  <si>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</si>
  <si>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</si>
  <si>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</si>
  <si>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</si>
  <si>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</si>
  <si>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</si>
  <si>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</si>
  <si>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</si>
  <si>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</si>
  <si>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</si>
  <si>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</si>
  <si>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</si>
  <si>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</si>
  <si>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</si>
  <si>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</si>
  <si>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</si>
  <si>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</si>
  <si>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</si>
  <si>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</si>
  <si>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</si>
  <si>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</si>
  <si>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</si>
  <si>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</si>
  <si>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</si>
  <si>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</si>
  <si>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</si>
  <si>
    <t>table with row headers in column A and column headers in rows 3 through 4. (leading dots indicate sub-parts)</t>
  </si>
  <si>
    <t>Annual Estimates of the Resident Population for the United States, Regions, States, District of Columbia, and Puerto Rico: April 1, 2020
 to July 1, 2025</t>
  </si>
  <si>
    <t>Geographic Area</t>
  </si>
  <si>
    <t>April 1, 2020 Estimates Base</t>
  </si>
  <si>
    <t>Population Estimate (as of July 1)</t>
  </si>
  <si>
    <t>Northeast</t>
  </si>
  <si>
    <t>Midwest</t>
  </si>
  <si>
    <t>South</t>
  </si>
  <si>
    <t>West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</si>
  <si>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</si>
  <si>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</si>
  <si>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</si>
  <si>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</si>
  <si>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</si>
  <si>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</si>
  <si>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</si>
  <si>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</si>
  <si>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</si>
  <si>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</si>
  <si>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</si>
  <si>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</si>
  <si>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</si>
  <si>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</si>
  <si>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</si>
  <si>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</si>
  <si>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</si>
  <si>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</si>
  <si>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</si>
  <si>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</si>
  <si>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</si>
  <si>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</si>
  <si>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</si>
  <si>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</si>
  <si>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</si>
  <si>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</si>
  <si>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</si>
  <si>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</si>
  <si>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</si>
  <si>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</si>
  <si>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</si>
  <si>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</si>
  <si>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</si>
  <si>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</si>
  <si>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</si>
  <si>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</si>
  <si>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</si>
  <si>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</si>
  <si>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</si>
  <si>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</si>
  <si>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</si>
  <si>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</si>
  <si>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</si>
  <si>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</si>
  <si>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</si>
  <si>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</si>
  <si>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</si>
  <si>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</si>
  <si>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</si>
  <si>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</si>
  <si>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</si>
  <si>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.Puerto Rico</t>
  </si>
  <si>
    <t xml:space="preserve">The Census Bureau has reviewed this data product to ensure appropriate access, use, and disclosure avoidance protection of the confidential source data used to produce this product (Data Management System (DMS) number: P-6000042 and P-7501659. Disclosure Review Board (DRB) approval number: CBDRB-FY25-0466). </t>
  </si>
  <si>
    <t>The estimates are based on the 2020 Modified Age and Race Census (MARC) file and include changes from Count Question Resolution, the Post-Census Group Quarters Review, and geographic revisions. For population estimates methodology statements, see https://www.census.gov/programs-surveys/popest/technical-documentation/methodology.html. See Geographic Terms and Definitions at https://www.census.gov/programs-surveys/popest/guidance-geographies/terms-and-definitions.html for a list of the states that are included in each region. All geographic boundaries for the 2025 population estimates series are as of January 1, 2025.</t>
  </si>
  <si>
    <t>Suggested Citation:</t>
  </si>
  <si>
    <t>Annual Estimates of the Resident Population for the United States, Regions, States, District of Columbia, and Puerto Rico: April 1, 2020 to July 1, 2025 (NST-EST2025-POP)</t>
  </si>
  <si>
    <t>Source: U.S. Census Bureau, Population Division</t>
  </si>
  <si>
    <t>Release Date: January 2026</t>
  </si>
  <si>
    <t>Total Population for the U.S., the 50 States, and the District of Columbia: Census 2020 and Projections 2030-2050</t>
  </si>
  <si>
    <t>Released on July 1, 2024 by the University of Virginia, Weldon Cooper Center for Public Service, https://www.coopercenter.org/national-population-projections</t>
  </si>
  <si>
    <t>FIPS</t>
  </si>
  <si>
    <t>Geography Name</t>
  </si>
  <si>
    <t>Total Population</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</si>
  <si>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</si>
  <si>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</si>
  <si>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</si>
  <si>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</si>
  <si>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</si>
  <si>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</si>
  <si>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</si>
  <si>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</si>
  <si>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</si>
  <si>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</si>
  <si>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</si>
  <si>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</si>
  <si>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</si>
  <si>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</si>
  <si>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</si>
  <si>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</si>
  <si>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</si>
  <si>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</si>
  <si>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</si>
  <si>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</si>
  <si>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</si>
  <si>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</si>
  <si>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</si>
  <si>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</si>
  <si>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</si>
  <si>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</si>
  <si>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</si>
  <si>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</si>
  <si>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</si>
  <si>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</si>
  <si>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</si>
  <si>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</si>
  <si>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</si>
  <si>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</si>
  <si>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</si>
  <si>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</si>
  <si>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</si>
  <si>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</si>
  <si>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</si>
  <si>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</si>
  <si>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</si>
  <si>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</si>
  <si>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</si>
  <si>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</si>
  <si>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</si>
  <si>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</si>
  <si>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</si>
  <si>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</si>
  <si>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</si>
  <si>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</si>
  <si>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</si>
  <si>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Subgroups may not sum to total due to rounding</t>
  </si>
  <si>
    <t>State name (Census/Cooper format)</t>
  </si>
  <si>
    <t>Active state name:</t>
  </si>
  <si>
    <t>What the state adjustment does</t>
  </si>
  <si>
    <t>BCDTRtSY-psgr / BCDTRtSY-frgt (original IA tabs): one national growth curve, applied to every state.</t>
  </si>
  <si>
    <t>BCDTRtSY-state-adjusted (new tab): same national curve × (state pop growth / national pop growth).</t>
  </si>
  <si>
    <t>Formula per cell:</t>
  </si>
  <si>
    <t xml:space="preserve">   state_adjusted[mode, year] = national_BCDTRtSY[mode, year]</t>
  </si>
  <si>
    <t xml:space="preserve">       × (state_pop[year] / state_pop[2024])</t>
  </si>
  <si>
    <t xml:space="preserve">       / (US_pop[year] / US_pop[2024])</t>
  </si>
  <si>
    <t>States projected to grow faster than national average (TX, AZ, FL, etc.) → multiplier &gt; 1.</t>
  </si>
  <si>
    <t>Slower-growth states (WV, IL, CT) → multiplier &lt; 1.</t>
  </si>
  <si>
    <t>2024 = 1.000 by definition (start year).</t>
  </si>
  <si>
    <t>Population sources:</t>
  </si>
  <si>
    <t xml:space="preserve">  • 2024–2025: Census Bureau NST-EST2025-POP (annual estimates)</t>
  </si>
  <si>
    <t xml:space="preserve">  • 2026–2029: linear interpolation Census 2025 → Cooper 2030</t>
  </si>
  <si>
    <t xml:space="preserve">  • 2030, 2040, 2050: UVA Weldon Cooper Center state projections (released July 2024)</t>
  </si>
  <si>
    <t xml:space="preserve">  • 2031–2039, 2041–2049: linear interpolation between Cooper anchor years</t>
  </si>
  <si>
    <t>Per organizational guidance: framing as inputs for staff review. Population projections</t>
  </si>
  <si>
    <t>should be verified against primary sources before external use.</t>
  </si>
  <si>
    <t>Cargo Dist Transported Relative to Start Year (dimensionless) — STATE-ADJUSTED</t>
  </si>
  <si>
    <t>Active state:</t>
  </si>
  <si>
    <t>Change About-state-adjustment!B1 to switch states.</t>
  </si>
  <si>
    <t>Source citations</t>
  </si>
  <si>
    <t>Compiled from docs/methodology/*.md and builder scripts. Built 2026-06-04. Per organizational guidance: framed as inputs for staff review. Staff should verify every URL and version against the primary source before incorporating these citations in published work.</t>
  </si>
  <si>
    <t>Energy Innovation (internal)</t>
  </si>
  <si>
    <t>IA reference workbook BCDTRtSY — BAU Cargo Distance Transported Relative to Start Year (national growth curves)</t>
  </si>
  <si>
    <t>internal eps-us repo: InputData/trans/BCDTRtSY/</t>
  </si>
  <si>
    <t>BAU Cargo Dist Transported Relative to Start Yr.xlsx — EPS US baseline snapshot, TBD: confirm EPS version with staff</t>
  </si>
  <si>
    <t>Annual Energy Outlook 2026 — Transportation Tables 7, 35, 45, 47, 49 (national growth-rate sources)</t>
  </si>
  <si>
    <t>https://www.eia.gov/outlooks/aeo/</t>
  </si>
  <si>
    <t>Tables 7 (Travel Indicators), 35 (Energy Use by Mode), 45 (Car Stock), 47 (Air Travel), 49 (Freight Truck) — embedded verbatim in workbook, April 2026</t>
  </si>
  <si>
    <t>Annual Energy Outlook 2025 — Transportation Tables 7, 35, 45–49 (legacy IA references)</t>
  </si>
  <si>
    <t>Tables 7, 35, 45, 46, 47, 49 — embedded verbatim in workbook (from IA reference, December 2025 release)</t>
  </si>
  <si>
    <t>Inventory of U.S. Greenhouse Gas Emissions and Sinks, Table 3-13 — Transportation Fuel Use by Vehicle Type</t>
  </si>
  <si>
    <t>https://www.epa.gov/ghgemissions/inventory-us-greenhouse-gas-emissions-and-sinks</t>
  </si>
  <si>
    <t>EPA GHG Inventory (2022 reporting year, embedded verbatim in IA reference)</t>
  </si>
  <si>
    <t>Census Bureau</t>
  </si>
  <si>
    <t>State Population Totals — Vintage 2025 (NST-EST2025-POP)</t>
  </si>
  <si>
    <t>https://www.census.gov/programs-surveys/popest/data/tables.html</t>
  </si>
  <si>
    <t>NST-EST2025-POP.xlsx (annual estimates 2020–2025)</t>
  </si>
  <si>
    <t>University of Virginia Weldon Cooper Center for Public Service</t>
  </si>
  <si>
    <t>National Population Projections (state-level, 2020 base)</t>
  </si>
  <si>
    <t>https://www.coopercenter.org/national-population-projections</t>
  </si>
  <si>
    <t>NationalProjections_ProjectedTotalPopulation_2030-2050.xlsx (released July 2024)</t>
  </si>
  <si>
    <t>State</t>
  </si>
  <si>
    <t>Abbr.</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</si>
  <si>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</si>
  <si>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</si>
  <si>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</si>
  <si>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</si>
  <si>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</si>
  <si>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</si>
  <si>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</si>
  <si>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</si>
  <si>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</si>
  <si>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</si>
  <si>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</si>
  <si>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</si>
  <si>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</si>
  <si>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</si>
  <si>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</si>
  <si>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</si>
  <si>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</si>
  <si>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</si>
  <si>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</si>
  <si>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</si>
  <si>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</si>
  <si>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</si>
  <si>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</si>
  <si>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</si>
  <si>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</si>
  <si>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</si>
  <si>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</si>
  <si>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</si>
  <si>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</si>
  <si>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</si>
  <si>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</si>
  <si>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</si>
  <si>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</si>
  <si>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</si>
  <si>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</si>
  <si>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</si>
  <si>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</si>
  <si>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</si>
  <si>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</si>
  <si>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</si>
  <si>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</si>
  <si>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template</t>
  </si>
  <si>
    <t>National data for template (added)</t>
  </si>
  <si>
    <t>TN</t>
  </si>
  <si>
    <t>TX</t>
  </si>
  <si>
    <t>UT</t>
  </si>
  <si>
    <t>VT</t>
  </si>
  <si>
    <t>VA</t>
  </si>
  <si>
    <t>WA</t>
  </si>
  <si>
    <t>WV</t>
  </si>
  <si>
    <t>WI</t>
  </si>
  <si>
    <t>WY</t>
  </si>
  <si>
    <t>Each cell = (national BCDTRtSY[y] / national BCDTRtSY[2025]) x (state_pop[y]/state_pop[2025]) / (US_pop[y]/US_pop[2025]). 2025 = 1 by definition (state model start year). 2024 column is pre-start filler mirroring the US tab.</t>
  </si>
  <si>
    <t>2026-08-14 re-anchor: US ratios are AEO 2026 / AEO 2026(2025) -- single edition. The previous AEO2026/AEO2025(2024) mix injected the editions' ~-7% level re-benchmark into 2025 as a fake demand drop (EPS gasoline -7% vs SEDS in all 48 states). See docs/findings/bcdtrtsy-aeo-vintage-seam-2026-08-14.md</t>
  </si>
  <si>
    <t>2026-08-14: re-anchored to 2025 = 1 on AEO 2026 alone (was mixed AEO2025/AEO2026, which put the editions' level re-benchmark into 2025 as a fake -5.7% LDV travel drop). Population adjustment re-anchored 2024 -&gt; 2025 to match. Approved by Olivia 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</si>
</sst>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
      <b/>
      <sz val="12"/>
      <color theme="1"/>
      <name val="Calibri"/>
      <family val="2"/>
      <scheme val="minor"/>
    </font>
    <font>
      <b/>
      <sz val="14"/>
      <color theme="1"/>
      <name val="Calibri"/>
      <family val="2"/>
      <scheme val="minor"/>
    </font>
    <font>
      <b/>
      <sz val="11"/>
      <color rgb="FF1F4E79"/>
      <name val="Calibri"/>
      <family val="2"/>
      <scheme val="minor"/>
    </font>
    <font>
      <u/>
      <sz val="11"/>
      <color rgb="FF0563C1"/>
      <name val="Calibri"/>
      <family val="2"/>
      <scheme val="minor"/>
    </font>
    <font>
      <sz val="11"/>
      <color rgb="FF000000"/>
      <name val="Calibri"/>
      <family val="2"/>
    </font>
  </fonts>
  <fills count="6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FFF59D"/>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78">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4" fontId="64" fillId="28" borderId="0" xfId="0" applyNumberFormat="1" applyFont="1" applyFill="1"/>
    <xf numFmtId="9" fontId="64" fillId="0" borderId="0" xfId="207" applyFont="1"/>
    <xf numFmtId="0" fontId="0" fillId="0" borderId="0" xfId="0" applyAlignment="1">
      <alignment wrapText="1"/>
    </xf>
    <xf numFmtId="0" fontId="66" fillId="0" borderId="0" xfId="0" applyFont="1"/>
    <xf numFmtId="0" fontId="66" fillId="63" borderId="0" xfId="0" applyFont="1" applyFill="1"/>
    <xf numFmtId="168" fontId="0" fillId="0" borderId="0" xfId="0" applyNumberFormat="1"/>
    <xf numFmtId="0" fontId="67" fillId="0" borderId="0" xfId="0" applyFont="1"/>
    <xf numFmtId="0" fontId="59" fillId="0" borderId="0" xfId="0" applyFont="1" applyAlignment="1">
      <alignment wrapText="1"/>
    </xf>
    <xf numFmtId="0" fontId="68" fillId="0" borderId="0" xfId="0" applyFont="1"/>
    <xf numFmtId="0" fontId="69" fillId="0" borderId="0" xfId="0" applyFont="1"/>
    <xf numFmtId="0" fontId="70" fillId="0" borderId="0" xfId="0" applyFont="1"/>
    <xf numFmtId="0" fontId="0" fillId="3" borderId="0" xfId="0" applyFill="1"/>
    <xf numFmtId="4" fontId="0" fillId="3" borderId="0" xfId="227" applyNumberFormat="1" applyFont="1" applyFill="1"/>
    <xf numFmtId="0" fontId="3" fillId="0" borderId="0" xfId="1"/>
    <xf numFmtId="0" fontId="61" fillId="0" borderId="2" xfId="223" applyFont="1">
      <alignment wrapText="1"/>
    </xf>
    <xf numFmtId="0" fontId="3" fillId="0" borderId="2" xfId="1" applyBorder="1"/>
    <xf numFmtId="14" fontId="59" fillId="0" borderId="0" xfId="0" applyNumberFormat="1" applyFont="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20">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epa.gov/ghgemissions/inventory-us-greenhouse-gas-emissions-and-sinks" TargetMode="External"/><Relationship Id="rId2" Type="http://schemas.openxmlformats.org/officeDocument/2006/relationships/hyperlink" Target="https://www.eia.gov/outlooks/aeo/" TargetMode="External"/><Relationship Id="rId1" Type="http://schemas.openxmlformats.org/officeDocument/2006/relationships/hyperlink" Target="https://www.eia.gov/outlooks/aeo/" TargetMode="External"/><Relationship Id="rId5" Type="http://schemas.openxmlformats.org/officeDocument/2006/relationships/hyperlink" Target="https://www.coopercenter.org/national-population-projections" TargetMode="External"/><Relationship Id="rId4" Type="http://schemas.openxmlformats.org/officeDocument/2006/relationships/hyperlink" Target="https://www.census.gov/programs-surveys/popest/data/tables.html" TargetMode="Externa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6"/>
  <sheetViews>
    <sheetView workbookViewId="0">
      <selection activeCell="B1" sqref="B1"/>
    </sheetView>
  </sheetViews>
  <sheetFormatPr defaultRowHeight="14.25"/>
  <cols>
    <col min="1" max="1" width="13.3984375" customWidth="1"/>
    <col min="2" max="2" width="107.3984375" customWidth="1"/>
  </cols>
  <sheetData>
    <row r="1" spans="1:9" ht="15.75">
      <c r="A1" s="1" t="s">
        <v>131</v>
      </c>
      <c r="B1" s="65" t="s">
        <v>2903</v>
      </c>
      <c r="C1" s="77">
        <v>46248</v>
      </c>
      <c r="H1" t="s">
        <v>2981</v>
      </c>
      <c r="I1" t="s">
        <v>2982</v>
      </c>
    </row>
    <row r="2" spans="1:9">
      <c r="B2" t="str">
        <f>VLOOKUP(B1,H2:I52,2)</f>
        <v>LA</v>
      </c>
      <c r="H2" s="71" t="s">
        <v>2885</v>
      </c>
      <c r="I2" s="71" t="s">
        <v>2983</v>
      </c>
    </row>
    <row r="3" spans="1:9">
      <c r="A3" s="1" t="s">
        <v>0</v>
      </c>
      <c r="B3" s="2" t="s">
        <v>119</v>
      </c>
      <c r="H3" s="71" t="s">
        <v>2886</v>
      </c>
      <c r="I3" s="71" t="s">
        <v>2984</v>
      </c>
    </row>
    <row r="4" spans="1:9">
      <c r="B4" t="s">
        <v>117</v>
      </c>
      <c r="H4" s="71" t="s">
        <v>2887</v>
      </c>
      <c r="I4" s="71" t="s">
        <v>2985</v>
      </c>
    </row>
    <row r="5" spans="1:9">
      <c r="B5" s="3" t="s">
        <v>2145</v>
      </c>
      <c r="H5" s="71" t="s">
        <v>2888</v>
      </c>
      <c r="I5" s="71" t="s">
        <v>2986</v>
      </c>
    </row>
    <row r="6" spans="1:9">
      <c r="B6" t="s">
        <v>2146</v>
      </c>
      <c r="H6" s="71" t="s">
        <v>2889</v>
      </c>
      <c r="I6" s="71" t="s">
        <v>2987</v>
      </c>
    </row>
    <row r="7" spans="1:9">
      <c r="B7" t="s">
        <v>2030</v>
      </c>
      <c r="H7" s="71" t="s">
        <v>2890</v>
      </c>
      <c r="I7" s="71" t="s">
        <v>2988</v>
      </c>
    </row>
    <row r="8" spans="1:9">
      <c r="B8" s="4" t="s">
        <v>265</v>
      </c>
      <c r="H8" s="71" t="s">
        <v>2891</v>
      </c>
      <c r="I8" s="71" t="s">
        <v>2989</v>
      </c>
    </row>
    <row r="9" spans="1:9">
      <c r="B9" t="s">
        <v>264</v>
      </c>
      <c r="H9" s="71" t="s">
        <v>2892</v>
      </c>
      <c r="I9" s="71" t="s">
        <v>2990</v>
      </c>
    </row>
    <row r="10" spans="1:9">
      <c r="H10" s="71" t="s">
        <v>2894</v>
      </c>
      <c r="I10" s="71" t="s">
        <v>2991</v>
      </c>
    </row>
    <row r="11" spans="1:9">
      <c r="B11" s="2" t="s">
        <v>323</v>
      </c>
      <c r="H11" s="71" t="s">
        <v>2895</v>
      </c>
      <c r="I11" s="71" t="s">
        <v>2992</v>
      </c>
    </row>
    <row r="12" spans="1:9">
      <c r="B12" t="s">
        <v>324</v>
      </c>
      <c r="H12" s="71" t="s">
        <v>2896</v>
      </c>
      <c r="I12" s="71" t="s">
        <v>2993</v>
      </c>
    </row>
    <row r="13" spans="1:9">
      <c r="B13" s="11">
        <v>2022</v>
      </c>
      <c r="H13" s="71" t="s">
        <v>2897</v>
      </c>
      <c r="I13" s="71" t="s">
        <v>2994</v>
      </c>
    </row>
    <row r="14" spans="1:9">
      <c r="B14" t="s">
        <v>325</v>
      </c>
      <c r="H14" s="71" t="s">
        <v>2898</v>
      </c>
      <c r="I14" s="71" t="s">
        <v>2995</v>
      </c>
    </row>
    <row r="15" spans="1:9">
      <c r="B15" s="4" t="s">
        <v>326</v>
      </c>
      <c r="H15" s="71" t="s">
        <v>2899</v>
      </c>
      <c r="I15" s="71" t="s">
        <v>2996</v>
      </c>
    </row>
    <row r="16" spans="1:9">
      <c r="B16" t="s">
        <v>327</v>
      </c>
      <c r="H16" s="71" t="s">
        <v>2900</v>
      </c>
      <c r="I16" s="71" t="s">
        <v>2997</v>
      </c>
    </row>
    <row r="17" spans="1:9">
      <c r="H17" s="71" t="s">
        <v>2901</v>
      </c>
      <c r="I17" s="71" t="s">
        <v>2998</v>
      </c>
    </row>
    <row r="18" spans="1:9">
      <c r="A18" s="1" t="s">
        <v>108</v>
      </c>
      <c r="H18" s="71" t="s">
        <v>2902</v>
      </c>
      <c r="I18" s="71" t="s">
        <v>2999</v>
      </c>
    </row>
    <row r="19" spans="1:9">
      <c r="A19" t="s">
        <v>127</v>
      </c>
      <c r="H19" s="71" t="s">
        <v>2903</v>
      </c>
      <c r="I19" s="71" t="s">
        <v>3000</v>
      </c>
    </row>
    <row r="20" spans="1:9">
      <c r="A20" t="s">
        <v>128</v>
      </c>
      <c r="H20" s="71" t="s">
        <v>2904</v>
      </c>
      <c r="I20" s="71" t="s">
        <v>3001</v>
      </c>
    </row>
    <row r="21" spans="1:9">
      <c r="A21" t="s">
        <v>129</v>
      </c>
      <c r="H21" s="71" t="s">
        <v>2905</v>
      </c>
      <c r="I21" s="71" t="s">
        <v>3002</v>
      </c>
    </row>
    <row r="22" spans="1:9">
      <c r="A22" t="s">
        <v>266</v>
      </c>
      <c r="H22" s="71" t="s">
        <v>2906</v>
      </c>
      <c r="I22" s="71" t="s">
        <v>3003</v>
      </c>
    </row>
    <row r="23" spans="1:9">
      <c r="A23" t="s">
        <v>130</v>
      </c>
      <c r="H23" s="71" t="s">
        <v>2907</v>
      </c>
      <c r="I23" s="71" t="s">
        <v>3004</v>
      </c>
    </row>
    <row r="24" spans="1:9">
      <c r="A24" t="s">
        <v>267</v>
      </c>
      <c r="H24" s="71" t="s">
        <v>2908</v>
      </c>
      <c r="I24" s="71" t="s">
        <v>3005</v>
      </c>
    </row>
    <row r="25" spans="1:9">
      <c r="H25" s="71" t="s">
        <v>2909</v>
      </c>
      <c r="I25" s="71" t="s">
        <v>3006</v>
      </c>
    </row>
    <row r="26" spans="1:9">
      <c r="A26" t="s">
        <v>124</v>
      </c>
      <c r="H26" s="71" t="s">
        <v>2910</v>
      </c>
      <c r="I26" s="71" t="s">
        <v>3007</v>
      </c>
    </row>
    <row r="27" spans="1:9">
      <c r="A27" t="s">
        <v>125</v>
      </c>
      <c r="H27" s="71" t="s">
        <v>2911</v>
      </c>
      <c r="I27" s="71" t="s">
        <v>3008</v>
      </c>
    </row>
    <row r="28" spans="1:9">
      <c r="A28" t="s">
        <v>126</v>
      </c>
      <c r="H28" s="71" t="s">
        <v>2912</v>
      </c>
      <c r="I28" s="71" t="s">
        <v>3009</v>
      </c>
    </row>
    <row r="29" spans="1:9">
      <c r="H29" s="71" t="s">
        <v>2913</v>
      </c>
      <c r="I29" s="71" t="s">
        <v>3010</v>
      </c>
    </row>
    <row r="30" spans="1:9">
      <c r="A30" t="s">
        <v>268</v>
      </c>
      <c r="H30" s="71" t="s">
        <v>2914</v>
      </c>
      <c r="I30" s="71" t="s">
        <v>3011</v>
      </c>
    </row>
    <row r="31" spans="1:9">
      <c r="A31" t="s">
        <v>269</v>
      </c>
      <c r="H31" s="71" t="s">
        <v>2915</v>
      </c>
      <c r="I31" s="71" t="s">
        <v>3012</v>
      </c>
    </row>
    <row r="32" spans="1:9">
      <c r="A32" t="s">
        <v>3037</v>
      </c>
      <c r="H32" s="71" t="s">
        <v>2916</v>
      </c>
      <c r="I32" s="71" t="s">
        <v>3013</v>
      </c>
    </row>
    <row r="33" spans="1:9">
      <c r="A33" t="s">
        <v>270</v>
      </c>
      <c r="H33" s="71" t="s">
        <v>2917</v>
      </c>
      <c r="I33" s="71" t="s">
        <v>3014</v>
      </c>
    </row>
    <row r="34" spans="1:9">
      <c r="A34" t="s">
        <v>271</v>
      </c>
      <c r="H34" s="71" t="s">
        <v>2918</v>
      </c>
      <c r="I34" s="71" t="s">
        <v>3015</v>
      </c>
    </row>
    <row r="35" spans="1:9">
      <c r="A35" t="s">
        <v>272</v>
      </c>
      <c r="H35" s="71" t="s">
        <v>2919</v>
      </c>
      <c r="I35" s="71" t="s">
        <v>3016</v>
      </c>
    </row>
    <row r="36" spans="1:9">
      <c r="A36" t="s">
        <v>273</v>
      </c>
      <c r="H36" s="71" t="s">
        <v>2920</v>
      </c>
      <c r="I36" s="71" t="s">
        <v>3017</v>
      </c>
    </row>
    <row r="37" spans="1:9">
      <c r="H37" s="71" t="s">
        <v>2921</v>
      </c>
      <c r="I37" s="71" t="s">
        <v>3018</v>
      </c>
    </row>
    <row r="38" spans="1:9">
      <c r="A38" t="s">
        <v>320</v>
      </c>
      <c r="H38" s="71" t="s">
        <v>2922</v>
      </c>
      <c r="I38" s="71" t="s">
        <v>3019</v>
      </c>
    </row>
    <row r="39" spans="1:9">
      <c r="A39" t="s">
        <v>321</v>
      </c>
      <c r="H39" s="71" t="s">
        <v>2923</v>
      </c>
      <c r="I39" s="71" t="s">
        <v>3020</v>
      </c>
    </row>
    <row r="40" spans="1:9">
      <c r="A40" t="s">
        <v>322</v>
      </c>
      <c r="H40" s="71" t="s">
        <v>2924</v>
      </c>
      <c r="I40" s="71" t="s">
        <v>3021</v>
      </c>
    </row>
    <row r="41" spans="1:9">
      <c r="H41" s="71" t="s">
        <v>2925</v>
      </c>
      <c r="I41" s="71" t="s">
        <v>3022</v>
      </c>
    </row>
    <row r="42" spans="1:9">
      <c r="H42" s="71" t="s">
        <v>2926</v>
      </c>
      <c r="I42" s="71" t="s">
        <v>3023</v>
      </c>
    </row>
    <row r="43" spans="1:9">
      <c r="H43" s="72" t="s">
        <v>3024</v>
      </c>
      <c r="I43" s="73" t="s">
        <v>3025</v>
      </c>
    </row>
    <row r="44" spans="1:9">
      <c r="A44" s="1" t="s">
        <v>2938</v>
      </c>
      <c r="H44" s="71" t="s">
        <v>2927</v>
      </c>
      <c r="I44" s="71" t="s">
        <v>3026</v>
      </c>
    </row>
    <row r="45" spans="1:9">
      <c r="H45" s="71" t="s">
        <v>2928</v>
      </c>
      <c r="I45" s="71" t="s">
        <v>3027</v>
      </c>
    </row>
    <row r="46" spans="1:9" ht="15.75">
      <c r="A46" s="64" t="s">
        <v>2939</v>
      </c>
      <c r="H46" s="71" t="s">
        <v>2929</v>
      </c>
      <c r="I46" s="71" t="s">
        <v>3028</v>
      </c>
    </row>
    <row r="47" spans="1:9">
      <c r="A47" t="s">
        <v>2940</v>
      </c>
      <c r="H47" s="71" t="s">
        <v>2930</v>
      </c>
      <c r="I47" s="71" t="s">
        <v>3029</v>
      </c>
    </row>
    <row r="48" spans="1:9">
      <c r="A48" t="s">
        <v>2941</v>
      </c>
      <c r="H48" s="71" t="s">
        <v>2931</v>
      </c>
      <c r="I48" s="71" t="s">
        <v>3030</v>
      </c>
    </row>
    <row r="49" spans="1:9">
      <c r="H49" s="71" t="s">
        <v>2932</v>
      </c>
      <c r="I49" s="71" t="s">
        <v>3031</v>
      </c>
    </row>
    <row r="50" spans="1:9">
      <c r="A50" t="s">
        <v>2942</v>
      </c>
      <c r="H50" s="71" t="s">
        <v>2933</v>
      </c>
      <c r="I50" s="71" t="s">
        <v>3032</v>
      </c>
    </row>
    <row r="51" spans="1:9">
      <c r="A51" t="s">
        <v>2943</v>
      </c>
      <c r="H51" s="71" t="s">
        <v>2934</v>
      </c>
      <c r="I51" s="71" t="s">
        <v>3033</v>
      </c>
    </row>
    <row r="52" spans="1:9">
      <c r="A52" t="s">
        <v>2944</v>
      </c>
      <c r="H52" s="71" t="s">
        <v>2935</v>
      </c>
      <c r="I52" s="71" t="s">
        <v>3034</v>
      </c>
    </row>
    <row r="53" spans="1:9">
      <c r="A53" t="s">
        <v>2945</v>
      </c>
    </row>
    <row r="55" spans="1:9">
      <c r="A55" t="s">
        <v>2946</v>
      </c>
    </row>
    <row r="56" spans="1:9">
      <c r="A56" t="s">
        <v>2947</v>
      </c>
    </row>
    <row r="57" spans="1:9">
      <c r="A57" t="s">
        <v>2948</v>
      </c>
    </row>
    <row r="59" spans="1:9">
      <c r="A59" t="s">
        <v>2949</v>
      </c>
    </row>
    <row r="60" spans="1:9">
      <c r="A60" t="s">
        <v>2950</v>
      </c>
    </row>
    <row r="61" spans="1:9">
      <c r="A61" t="s">
        <v>2951</v>
      </c>
    </row>
    <row r="62" spans="1:9">
      <c r="A62" t="s">
        <v>2952</v>
      </c>
    </row>
    <row r="63" spans="1:9">
      <c r="A63" t="s">
        <v>2953</v>
      </c>
    </row>
    <row r="65" spans="1:1">
      <c r="A65" t="s">
        <v>2954</v>
      </c>
    </row>
    <row r="66" spans="1:1">
      <c r="A66" t="s">
        <v>2955</v>
      </c>
    </row>
  </sheetData>
  <conditionalFormatting sqref="H1:H52">
    <cfRule type="duplicateValues" dxfId="19" priority="1"/>
  </conditionalFormatting>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2B98C-5D06-411B-8E02-A9B6B807526E}">
  <dimension ref="A1:B32"/>
  <sheetViews>
    <sheetView tabSelected="1" workbookViewId="0">
      <selection activeCell="A2" sqref="A2"/>
    </sheetView>
  </sheetViews>
  <sheetFormatPr defaultRowHeight="14.25"/>
  <cols>
    <col min="1" max="1" width="56.73046875" customWidth="1"/>
    <col min="2" max="2" width="140.73046875" customWidth="1"/>
  </cols>
  <sheetData>
    <row r="1" spans="1:2" ht="18">
      <c r="A1" s="67" t="s">
        <v>2959</v>
      </c>
    </row>
    <row r="2" spans="1:2" ht="81" customHeight="1">
      <c r="A2" s="68" t="s">
        <v>2960</v>
      </c>
      <c r="B2" s="63"/>
    </row>
    <row r="4" spans="1:2">
      <c r="A4" s="1">
        <v>1</v>
      </c>
      <c r="B4" s="69" t="s">
        <v>2961</v>
      </c>
    </row>
    <row r="5" spans="1:2">
      <c r="B5" s="1" t="s">
        <v>2962</v>
      </c>
    </row>
    <row r="6" spans="1:2">
      <c r="B6" s="70" t="s">
        <v>2963</v>
      </c>
    </row>
    <row r="7" spans="1:2">
      <c r="B7" s="15" t="s">
        <v>2964</v>
      </c>
    </row>
    <row r="9" spans="1:2">
      <c r="A9" s="1">
        <v>2</v>
      </c>
      <c r="B9" s="69" t="s">
        <v>117</v>
      </c>
    </row>
    <row r="10" spans="1:2">
      <c r="B10" s="1" t="s">
        <v>2965</v>
      </c>
    </row>
    <row r="11" spans="1:2">
      <c r="B11" s="4" t="s">
        <v>2966</v>
      </c>
    </row>
    <row r="12" spans="1:2">
      <c r="B12" s="15" t="s">
        <v>2967</v>
      </c>
    </row>
    <row r="14" spans="1:2">
      <c r="A14" s="1">
        <v>3</v>
      </c>
      <c r="B14" s="69" t="s">
        <v>117</v>
      </c>
    </row>
    <row r="15" spans="1:2">
      <c r="B15" s="1" t="s">
        <v>2968</v>
      </c>
    </row>
    <row r="16" spans="1:2">
      <c r="B16" s="4" t="s">
        <v>2966</v>
      </c>
    </row>
    <row r="17" spans="1:2">
      <c r="B17" s="15" t="s">
        <v>2969</v>
      </c>
    </row>
    <row r="19" spans="1:2">
      <c r="A19" s="1">
        <v>4</v>
      </c>
      <c r="B19" s="69" t="s">
        <v>324</v>
      </c>
    </row>
    <row r="20" spans="1:2">
      <c r="B20" s="1" t="s">
        <v>2970</v>
      </c>
    </row>
    <row r="21" spans="1:2">
      <c r="B21" s="4" t="s">
        <v>2971</v>
      </c>
    </row>
    <row r="22" spans="1:2">
      <c r="B22" s="15" t="s">
        <v>2972</v>
      </c>
    </row>
    <row r="24" spans="1:2">
      <c r="A24" s="1">
        <v>5</v>
      </c>
      <c r="B24" s="69" t="s">
        <v>2973</v>
      </c>
    </row>
    <row r="25" spans="1:2">
      <c r="B25" s="1" t="s">
        <v>2974</v>
      </c>
    </row>
    <row r="26" spans="1:2">
      <c r="B26" s="4" t="s">
        <v>2975</v>
      </c>
    </row>
    <row r="27" spans="1:2">
      <c r="B27" s="15" t="s">
        <v>2976</v>
      </c>
    </row>
    <row r="29" spans="1:2">
      <c r="A29" s="1">
        <v>6</v>
      </c>
      <c r="B29" s="69" t="s">
        <v>2977</v>
      </c>
    </row>
    <row r="30" spans="1:2">
      <c r="B30" s="1" t="s">
        <v>2978</v>
      </c>
    </row>
    <row r="31" spans="1:2">
      <c r="B31" s="4" t="s">
        <v>2979</v>
      </c>
    </row>
    <row r="32" spans="1:2">
      <c r="B32" s="15" t="s">
        <v>2980</v>
      </c>
    </row>
  </sheetData>
  <hyperlinks>
    <hyperlink ref="B11" r:id="rId1" xr:uid="{46A83A59-7ADF-422A-ACCA-28E192E75DE5}"/>
    <hyperlink ref="B16" r:id="rId2" xr:uid="{558565B8-BFDC-4808-8B17-3163EC9A8ABD}"/>
    <hyperlink ref="B21" r:id="rId3" xr:uid="{A1E5B11D-DE31-4C39-A5B7-C6A9A8F626C3}"/>
    <hyperlink ref="B26" r:id="rId4" xr:uid="{B0881C74-9BB4-49AC-A904-2EA5931A4ED9}"/>
    <hyperlink ref="B31" r:id="rId5" xr:uid="{42D840D3-DA3B-4791-9203-F00D729AB22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25"/>
  <cols>
    <col min="1" max="1" width="44.3984375" customWidth="1"/>
    <col min="2" max="2" width="12.597656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4.25"/>
  <cols>
    <col min="1" max="1" width="14.86328125" customWidth="1"/>
    <col min="2" max="2" width="25.730468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4.25"/>
  <cols>
    <col min="1" max="1" width="22.13281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4.25"/>
  <sheetData>
    <row r="1" spans="1:33">
      <c r="A1" t="s">
        <v>2235</v>
      </c>
    </row>
    <row r="2" spans="1:33">
      <c r="A2" t="s">
        <v>2341</v>
      </c>
    </row>
    <row r="3" spans="1:33">
      <c r="A3" t="s">
        <v>2340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2231</v>
      </c>
    </row>
    <row r="7" spans="1:33">
      <c r="A7" t="s">
        <v>296</v>
      </c>
    </row>
    <row r="8" spans="1:33">
      <c r="A8" t="s">
        <v>297</v>
      </c>
      <c r="B8" t="s">
        <v>2339</v>
      </c>
      <c r="C8" t="s">
        <v>2338</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298</v>
      </c>
      <c r="B9" t="s">
        <v>2337</v>
      </c>
      <c r="C9" t="s">
        <v>2336</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299</v>
      </c>
      <c r="B10" t="s">
        <v>2335</v>
      </c>
      <c r="C10" t="s">
        <v>2334</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300</v>
      </c>
    </row>
    <row r="12" spans="1:33">
      <c r="A12" t="s">
        <v>301</v>
      </c>
      <c r="B12" t="s">
        <v>2333</v>
      </c>
      <c r="C12" t="s">
        <v>2332</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333</v>
      </c>
      <c r="B13" t="s">
        <v>2331</v>
      </c>
      <c r="C13" t="s">
        <v>2330</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334</v>
      </c>
      <c r="B14" t="s">
        <v>2329</v>
      </c>
      <c r="C14" t="s">
        <v>2328</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335</v>
      </c>
      <c r="B15" t="s">
        <v>2327</v>
      </c>
      <c r="C15" t="s">
        <v>2326</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302</v>
      </c>
      <c r="B16" t="s">
        <v>2325</v>
      </c>
      <c r="C16" t="s">
        <v>2324</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303</v>
      </c>
      <c r="B17" t="s">
        <v>2323</v>
      </c>
      <c r="C17" t="s">
        <v>2322</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304</v>
      </c>
      <c r="B18" t="s">
        <v>2321</v>
      </c>
      <c r="C18" t="s">
        <v>2320</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2319</v>
      </c>
      <c r="C19" t="s">
        <v>2318</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306</v>
      </c>
      <c r="B20" t="s">
        <v>2317</v>
      </c>
      <c r="C20" t="s">
        <v>2316</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307</v>
      </c>
      <c r="B21" t="s">
        <v>2315</v>
      </c>
      <c r="C21" t="s">
        <v>2314</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308</v>
      </c>
      <c r="B22" t="s">
        <v>2313</v>
      </c>
      <c r="C22" t="s">
        <v>2312</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309</v>
      </c>
      <c r="B23" t="s">
        <v>2311</v>
      </c>
      <c r="C23" t="s">
        <v>2310</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310</v>
      </c>
      <c r="B24" t="s">
        <v>2309</v>
      </c>
      <c r="C24" t="s">
        <v>2308</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2307</v>
      </c>
      <c r="C25" t="s">
        <v>2306</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312</v>
      </c>
      <c r="B26" t="s">
        <v>2305</v>
      </c>
      <c r="C26" t="s">
        <v>2304</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2206</v>
      </c>
      <c r="B27" t="s">
        <v>2303</v>
      </c>
      <c r="C27" t="s">
        <v>2302</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2203</v>
      </c>
    </row>
    <row r="29" spans="1:33">
      <c r="A29" t="s">
        <v>314</v>
      </c>
    </row>
    <row r="30" spans="1:33">
      <c r="A30" t="s">
        <v>297</v>
      </c>
      <c r="B30" t="s">
        <v>2301</v>
      </c>
      <c r="C30" t="s">
        <v>2300</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298</v>
      </c>
      <c r="B31" t="s">
        <v>2299</v>
      </c>
      <c r="C31" t="s">
        <v>2298</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315</v>
      </c>
      <c r="B32" t="s">
        <v>2297</v>
      </c>
      <c r="C32" t="s">
        <v>2296</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316</v>
      </c>
    </row>
    <row r="34" spans="1:33">
      <c r="A34" t="s">
        <v>301</v>
      </c>
      <c r="B34" t="s">
        <v>2295</v>
      </c>
      <c r="C34" t="s">
        <v>2294</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333</v>
      </c>
      <c r="B35" t="s">
        <v>2293</v>
      </c>
      <c r="C35" t="s">
        <v>2292</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334</v>
      </c>
      <c r="B36" t="s">
        <v>2291</v>
      </c>
      <c r="C36" t="s">
        <v>2290</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335</v>
      </c>
      <c r="B37" t="s">
        <v>2289</v>
      </c>
      <c r="C37" t="s">
        <v>2288</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302</v>
      </c>
      <c r="B38" t="s">
        <v>2287</v>
      </c>
      <c r="C38" t="s">
        <v>2286</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303</v>
      </c>
      <c r="B39" t="s">
        <v>2285</v>
      </c>
      <c r="C39" t="s">
        <v>2284</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304</v>
      </c>
      <c r="B40" t="s">
        <v>2283</v>
      </c>
      <c r="C40" t="s">
        <v>2282</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2281</v>
      </c>
      <c r="C41" t="s">
        <v>2280</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306</v>
      </c>
      <c r="B42" t="s">
        <v>2279</v>
      </c>
      <c r="C42" t="s">
        <v>2278</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307</v>
      </c>
      <c r="B43" t="s">
        <v>2277</v>
      </c>
      <c r="C43" t="s">
        <v>2276</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308</v>
      </c>
      <c r="B44" t="s">
        <v>2275</v>
      </c>
      <c r="C44" t="s">
        <v>2274</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309</v>
      </c>
      <c r="B45" t="s">
        <v>2273</v>
      </c>
      <c r="C45" t="s">
        <v>2272</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310</v>
      </c>
      <c r="B46" t="s">
        <v>2271</v>
      </c>
      <c r="C46" t="s">
        <v>2270</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2269</v>
      </c>
      <c r="C47" t="s">
        <v>2268</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2267</v>
      </c>
      <c r="C48" t="s">
        <v>2266</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2178</v>
      </c>
      <c r="B49" t="s">
        <v>2265</v>
      </c>
      <c r="C49" t="s">
        <v>2264</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287</v>
      </c>
      <c r="B50" t="s">
        <v>2263</v>
      </c>
      <c r="C50" t="s">
        <v>2262</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226</v>
      </c>
      <c r="B51" t="s">
        <v>2261</v>
      </c>
      <c r="C51" t="s">
        <v>2260</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181</v>
      </c>
      <c r="B52" t="s">
        <v>2259</v>
      </c>
      <c r="C52" t="s">
        <v>2258</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184</v>
      </c>
      <c r="B53" t="s">
        <v>2257</v>
      </c>
      <c r="C53" t="s">
        <v>2256</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187</v>
      </c>
      <c r="B54" t="s">
        <v>2255</v>
      </c>
      <c r="C54" t="s">
        <v>2254</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227</v>
      </c>
      <c r="B55" t="s">
        <v>2253</v>
      </c>
      <c r="C55" t="s">
        <v>2252</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228</v>
      </c>
      <c r="B56" t="s">
        <v>2251</v>
      </c>
      <c r="C56" t="s">
        <v>2250</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230</v>
      </c>
      <c r="B57" t="s">
        <v>2249</v>
      </c>
      <c r="C57" t="s">
        <v>2248</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2247</v>
      </c>
      <c r="C58" t="s">
        <v>2246</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2245</v>
      </c>
      <c r="C59" t="s">
        <v>2244</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2243</v>
      </c>
      <c r="C60" t="s">
        <v>2242</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2241</v>
      </c>
      <c r="C61" t="s">
        <v>2240</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568</v>
      </c>
      <c r="B62" t="s">
        <v>2239</v>
      </c>
      <c r="C62" t="s">
        <v>2238</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2149</v>
      </c>
      <c r="B63" t="s">
        <v>2237</v>
      </c>
      <c r="C63" t="s">
        <v>2236</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2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25"/>
  <cols>
    <col min="1" max="1" width="35.86328125" customWidth="1"/>
  </cols>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s="5" customFormat="1">
      <c r="A67" s="5" t="s">
        <v>208</v>
      </c>
    </row>
    <row r="68" spans="1:33" s="5" customFormat="1">
      <c r="A68" s="5" t="s">
        <v>203</v>
      </c>
      <c r="B68" s="5" t="s">
        <v>1041</v>
      </c>
      <c r="C68" s="5" t="s">
        <v>1040</v>
      </c>
      <c r="D68" s="5" t="s">
        <v>194</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43">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25"/>
  <cols>
    <col min="1" max="1" width="25.26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4.25"/>
  <cols>
    <col min="1" max="1" width="0" hidden="1" customWidth="1"/>
    <col min="2" max="2" width="40.73046875" customWidth="1"/>
  </cols>
  <sheetData>
    <row r="1" spans="1:29" s="47" customFormat="1" ht="15.75">
      <c r="B1" s="47" t="s">
        <v>2027</v>
      </c>
    </row>
    <row r="2" spans="1:29" s="48" customFormat="1" ht="11.65"/>
    <row r="3" spans="1:29" s="48" customFormat="1" ht="11.65">
      <c r="C3" s="48" t="s">
        <v>107</v>
      </c>
      <c r="D3" s="48" t="s">
        <v>2028</v>
      </c>
    </row>
    <row r="4" spans="1:29" s="48" customFormat="1" ht="11.65">
      <c r="C4" s="48" t="s">
        <v>106</v>
      </c>
      <c r="D4" s="48" t="s">
        <v>2029</v>
      </c>
      <c r="F4" s="48" t="s">
        <v>2030</v>
      </c>
    </row>
    <row r="5" spans="1:29" s="48" customFormat="1" ht="11.65">
      <c r="C5" s="48" t="s">
        <v>105</v>
      </c>
      <c r="D5" s="48" t="s">
        <v>2031</v>
      </c>
    </row>
    <row r="6" spans="1:29" s="48" customFormat="1" ht="11.65">
      <c r="C6" s="48" t="s">
        <v>104</v>
      </c>
      <c r="E6" s="48" t="s">
        <v>2032</v>
      </c>
    </row>
    <row r="7" spans="1:29" s="49" customFormat="1" ht="15.75">
      <c r="B7" s="49" t="s">
        <v>103</v>
      </c>
    </row>
    <row r="8" spans="1:29" s="48" customFormat="1" ht="11.65"/>
    <row r="9" spans="1:29" s="48" customFormat="1" ht="11.65">
      <c r="AC9" s="48" t="s">
        <v>2033</v>
      </c>
    </row>
    <row r="10" spans="1:29" s="50" customFormat="1" ht="11.65">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1.65"/>
    <row r="12" spans="1:29" s="52" customFormat="1" ht="11.65">
      <c r="B12" s="52" t="s">
        <v>101</v>
      </c>
    </row>
    <row r="13" spans="1:29" s="52" customFormat="1" ht="11.65">
      <c r="B13" s="52" t="s">
        <v>100</v>
      </c>
    </row>
    <row r="14" spans="1:29" s="51" customFormat="1" ht="11.65">
      <c r="B14" s="51" t="s">
        <v>99</v>
      </c>
    </row>
    <row r="15" spans="1:29" s="48" customFormat="1" ht="11.65">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1.65">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31" s="48" customFormat="1" ht="11.65">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31" s="48" customFormat="1" ht="11.65">
      <c r="B18" s="48" t="s">
        <v>136</v>
      </c>
    </row>
    <row r="19" spans="1:31" s="48" customFormat="1" ht="11.65">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31" s="51" customFormat="1" ht="11.65">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31" s="48" customFormat="1" ht="11.65">
      <c r="B21" s="48" t="s">
        <v>92</v>
      </c>
    </row>
    <row r="22" spans="1:31" s="48" customFormat="1" ht="11.65">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c r="AE22" s="62">
        <f>AB22/C22</f>
        <v>1.5305191054939713</v>
      </c>
    </row>
    <row r="23" spans="1:31" s="51" customFormat="1" ht="11.65">
      <c r="B23" s="51" t="s">
        <v>89</v>
      </c>
    </row>
    <row r="24" spans="1:31" s="48" customFormat="1" ht="11.65">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31" s="51" customFormat="1" ht="11.65">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31" s="48" customFormat="1" ht="11.65"/>
    <row r="27" spans="1:31" s="53" customFormat="1" ht="11.65">
      <c r="B27" s="53" t="s">
        <v>86</v>
      </c>
    </row>
    <row r="28" spans="1:31" s="51" customFormat="1" ht="11.65">
      <c r="B28" s="51" t="s">
        <v>85</v>
      </c>
    </row>
    <row r="29" spans="1:31" s="51" customFormat="1" ht="11.65">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31" s="51" customFormat="1" ht="11.65">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31" s="54" customFormat="1" ht="11.65">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31" s="54" customFormat="1" ht="11.65">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1.65">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1.65">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1.65">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1.65">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1.65">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1.65">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1.65">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1.65">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1.65">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1.65">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1.65">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1.65">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1.65">
      <c r="B45" s="54" t="s">
        <v>52</v>
      </c>
    </row>
    <row r="46" spans="1:29" s="54" customFormat="1" ht="11.65">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1.65">
      <c r="B47" s="54" t="s">
        <v>49</v>
      </c>
    </row>
    <row r="48" spans="1:29" s="51" customFormat="1" ht="11.65">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1.65">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1.65"/>
    <row r="51" spans="1:29" s="55" customFormat="1" ht="11.65">
      <c r="B51" s="55" t="s">
        <v>44</v>
      </c>
    </row>
    <row r="52" spans="1:29" s="55" customFormat="1" ht="11.65">
      <c r="B52" s="55" t="s">
        <v>43</v>
      </c>
    </row>
    <row r="53" spans="1:29" s="51" customFormat="1" ht="11.65">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1" customFormat="1" ht="11.65">
      <c r="A54" s="61" t="s">
        <v>41</v>
      </c>
      <c r="B54" s="61" t="s">
        <v>24</v>
      </c>
      <c r="C54" s="61">
        <v>0.87173807621002197</v>
      </c>
      <c r="D54" s="61">
        <v>0.87093132734298706</v>
      </c>
      <c r="E54" s="61">
        <v>0.87818789482116699</v>
      </c>
      <c r="F54" s="61">
        <v>0.87664037942886353</v>
      </c>
      <c r="G54" s="61">
        <v>0.87749767303466797</v>
      </c>
      <c r="H54" s="61">
        <v>0.88306564092636108</v>
      </c>
      <c r="I54" s="61">
        <v>0.88911271095275879</v>
      </c>
      <c r="J54" s="61">
        <v>0.89620500802993774</v>
      </c>
      <c r="K54" s="61">
        <v>0.89951300621032715</v>
      </c>
      <c r="L54" s="61">
        <v>0.90226602554321289</v>
      </c>
      <c r="M54" s="61">
        <v>0.90487778186798096</v>
      </c>
      <c r="N54" s="61">
        <v>0.90814465284347534</v>
      </c>
      <c r="O54" s="61">
        <v>0.91162371635437012</v>
      </c>
      <c r="P54" s="61">
        <v>0.91568571329116821</v>
      </c>
      <c r="Q54" s="61">
        <v>0.92017042636871338</v>
      </c>
      <c r="R54" s="61">
        <v>0.92398661375045776</v>
      </c>
      <c r="S54" s="61">
        <v>0.92461401224136353</v>
      </c>
      <c r="T54" s="61">
        <v>0.92510068416595459</v>
      </c>
      <c r="U54" s="61">
        <v>0.92174756526947021</v>
      </c>
      <c r="V54" s="61">
        <v>0.91824626922607422</v>
      </c>
      <c r="W54" s="61">
        <v>0.91485637426376343</v>
      </c>
      <c r="X54" s="61">
        <v>0.91168874502182007</v>
      </c>
      <c r="Y54" s="61">
        <v>0.91007977724075317</v>
      </c>
      <c r="Z54" s="61">
        <v>0.9075697660446167</v>
      </c>
      <c r="AA54" s="61">
        <v>0.90650737285614014</v>
      </c>
      <c r="AB54" s="61">
        <v>0.90485525131225586</v>
      </c>
      <c r="AC54" s="61">
        <v>1.4925519540442971E-3</v>
      </c>
    </row>
    <row r="55" spans="1:29" s="51" customFormat="1" ht="11.65">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1.65">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1.65">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1.65">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1.65">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1.65">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1.65">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1.65">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1.65">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1.65">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1.65">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1.65">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1.65">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1.65"/>
    <row r="69" spans="1:29" s="52" customFormat="1" ht="11.65">
      <c r="B69" s="52" t="s">
        <v>28</v>
      </c>
    </row>
    <row r="70" spans="1:29" s="51" customFormat="1" ht="11.65">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1.65">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1.65">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1.65">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1.65">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1.65">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1.65">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1.65">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1.65">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1.65">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1.65">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1.65">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1.65">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1.65">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1.65">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1.65"/>
    <row r="86" spans="1:29" s="51" customFormat="1" ht="11.65">
      <c r="B86" s="51" t="s">
        <v>2036</v>
      </c>
    </row>
    <row r="87" spans="1:29" s="51" customFormat="1" ht="11.65">
      <c r="B87" s="51" t="s">
        <v>2037</v>
      </c>
    </row>
    <row r="88" spans="1:29" s="51" customFormat="1" ht="11.65">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1.65">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1.65">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1.65">
      <c r="B91" s="51" t="s">
        <v>2044</v>
      </c>
    </row>
    <row r="92" spans="1:29" s="51" customFormat="1" ht="11.65">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1.65">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1.65">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1.65">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1.65">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1.65"/>
    <row r="98" spans="1:29" s="51" customFormat="1" ht="11.65">
      <c r="B98" s="51" t="s">
        <v>2054</v>
      </c>
    </row>
    <row r="99" spans="1:29" s="51" customFormat="1" ht="11.65">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1.65">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1.65">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1.65">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1.65">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1.65">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1.65">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1.65">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1.65">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1.65">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1.65">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1.65">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1.65">
      <c r="B111" s="51" t="s">
        <v>2078</v>
      </c>
    </row>
    <row r="112" spans="1:29" s="51" customFormat="1" ht="11.65">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1.65">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1.65"/>
    <row r="115" spans="1:29" s="51" customFormat="1" ht="11.65">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1.65"/>
    <row r="117" spans="1:29" s="51" customFormat="1" ht="11.65">
      <c r="B117" s="51" t="s">
        <v>2083</v>
      </c>
    </row>
    <row r="118" spans="1:29" s="51" customFormat="1" ht="11.65">
      <c r="B118" s="51" t="s">
        <v>470</v>
      </c>
    </row>
    <row r="119" spans="1:29" s="51" customFormat="1" ht="11.65">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1.65">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1.65">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1.65">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1.65">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1.65">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1.65">
      <c r="B125" s="51" t="s">
        <v>472</v>
      </c>
    </row>
    <row r="126" spans="1:29" s="51" customFormat="1" ht="11.65">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1.65">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1.65">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1.65">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1.65">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1.65">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1.65">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4.6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 thickTop="1">
      <c r="B134" s="51" t="s">
        <v>2103</v>
      </c>
    </row>
    <row r="135" spans="1:29" s="51" customFormat="1" ht="11.65">
      <c r="B135" s="51" t="s">
        <v>2104</v>
      </c>
    </row>
    <row r="136" spans="1:29" s="51" customFormat="1" ht="11.65">
      <c r="B136" s="51" t="s">
        <v>2105</v>
      </c>
    </row>
    <row r="137" spans="1:29" s="51" customFormat="1" ht="11.65">
      <c r="B137" s="51" t="s">
        <v>330</v>
      </c>
    </row>
    <row r="138" spans="1:29" s="51" customFormat="1" ht="11.65">
      <c r="B138" s="51" t="s">
        <v>2106</v>
      </c>
    </row>
    <row r="139" spans="1:29" s="51" customFormat="1" ht="11.65">
      <c r="B139" s="51" t="s">
        <v>2107</v>
      </c>
    </row>
    <row r="140" spans="1:29" s="51" customFormat="1" ht="11.65">
      <c r="B140" s="51" t="s">
        <v>2108</v>
      </c>
    </row>
    <row r="141" spans="1:29" s="51" customFormat="1" ht="11.65">
      <c r="B141" s="51" t="s">
        <v>2109</v>
      </c>
    </row>
    <row r="142" spans="1:29" s="51" customFormat="1" ht="11.65">
      <c r="B142" s="51" t="s">
        <v>2110</v>
      </c>
    </row>
    <row r="143" spans="1:29" s="51" customFormat="1" ht="11.65">
      <c r="B143" s="51" t="s">
        <v>331</v>
      </c>
    </row>
    <row r="144" spans="1:29" s="51" customFormat="1" ht="11.65">
      <c r="B144" s="51" t="s">
        <v>2111</v>
      </c>
    </row>
    <row r="145" spans="2:2" s="51" customFormat="1" ht="11.65">
      <c r="B145" s="51" t="s">
        <v>149</v>
      </c>
    </row>
    <row r="146" spans="2:2" s="51" customFormat="1" ht="11.65">
      <c r="B146" s="51" t="s">
        <v>2112</v>
      </c>
    </row>
    <row r="147" spans="2:2" s="51" customFormat="1" ht="11.65">
      <c r="B147" s="51" t="s">
        <v>2113</v>
      </c>
    </row>
    <row r="148" spans="2:2" s="51" customFormat="1" ht="11.65">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4.25"/>
  <cols>
    <col min="2" max="2" width="22"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4.25"/>
  <cols>
    <col min="1" max="1" width="39.265625" customWidth="1"/>
  </cols>
  <sheetData>
    <row r="1" spans="1:31">
      <c r="A1" t="s">
        <v>2235</v>
      </c>
    </row>
    <row r="2" spans="1:31">
      <c r="A2" t="s">
        <v>2234</v>
      </c>
    </row>
    <row r="3" spans="1:31">
      <c r="A3" t="s">
        <v>2233</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2231</v>
      </c>
    </row>
    <row r="7" spans="1:31">
      <c r="A7" t="s">
        <v>296</v>
      </c>
    </row>
    <row r="8" spans="1:31">
      <c r="A8" t="s">
        <v>297</v>
      </c>
      <c r="B8" t="s">
        <v>2230</v>
      </c>
      <c r="C8" t="s">
        <v>2229</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298</v>
      </c>
      <c r="B9" t="s">
        <v>2228</v>
      </c>
      <c r="C9" t="s">
        <v>2227</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299</v>
      </c>
      <c r="B10" t="s">
        <v>2226</v>
      </c>
      <c r="C10" t="s">
        <v>2225</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300</v>
      </c>
    </row>
    <row r="12" spans="1:31">
      <c r="A12" t="s">
        <v>301</v>
      </c>
      <c r="B12" t="s">
        <v>2224</v>
      </c>
      <c r="C12" t="s">
        <v>2223</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333</v>
      </c>
      <c r="B13" t="s">
        <v>2222</v>
      </c>
      <c r="C13" t="s">
        <v>2221</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334</v>
      </c>
      <c r="B14" t="s">
        <v>2220</v>
      </c>
      <c r="C14" t="s">
        <v>2219</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335</v>
      </c>
      <c r="B15" t="s">
        <v>2218</v>
      </c>
      <c r="C15" t="s">
        <v>2217</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302</v>
      </c>
      <c r="B16" t="s">
        <v>2216</v>
      </c>
      <c r="C16" t="s">
        <v>2215</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303</v>
      </c>
      <c r="B17" t="s">
        <v>2214</v>
      </c>
      <c r="C17" t="s">
        <v>2213</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305</v>
      </c>
      <c r="B18" t="s">
        <v>2212</v>
      </c>
      <c r="C18" t="s">
        <v>2211</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311</v>
      </c>
      <c r="B19" t="s">
        <v>2210</v>
      </c>
      <c r="C19" t="s">
        <v>2209</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312</v>
      </c>
      <c r="B20" t="s">
        <v>2208</v>
      </c>
      <c r="C20" t="s">
        <v>2207</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2206</v>
      </c>
      <c r="B21" t="s">
        <v>2205</v>
      </c>
      <c r="C21" t="s">
        <v>2204</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2203</v>
      </c>
    </row>
    <row r="23" spans="1:31">
      <c r="A23" t="s">
        <v>314</v>
      </c>
    </row>
    <row r="24" spans="1:31">
      <c r="A24" t="s">
        <v>297</v>
      </c>
      <c r="B24" t="s">
        <v>2202</v>
      </c>
      <c r="C24" t="s">
        <v>2201</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298</v>
      </c>
      <c r="B25" t="s">
        <v>2200</v>
      </c>
      <c r="C25" t="s">
        <v>2199</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315</v>
      </c>
      <c r="B26" t="s">
        <v>2198</v>
      </c>
      <c r="C26" t="s">
        <v>2197</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316</v>
      </c>
    </row>
    <row r="28" spans="1:31">
      <c r="A28" t="s">
        <v>301</v>
      </c>
      <c r="B28" t="s">
        <v>2196</v>
      </c>
      <c r="C28" t="s">
        <v>2195</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333</v>
      </c>
      <c r="B29" t="s">
        <v>2194</v>
      </c>
      <c r="C29" t="s">
        <v>2193</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334</v>
      </c>
      <c r="B30" t="s">
        <v>2192</v>
      </c>
      <c r="C30" t="s">
        <v>2191</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335</v>
      </c>
      <c r="B31" t="s">
        <v>2190</v>
      </c>
      <c r="C31" t="s">
        <v>2189</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302</v>
      </c>
      <c r="B32" t="s">
        <v>2188</v>
      </c>
      <c r="C32" t="s">
        <v>2187</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303</v>
      </c>
      <c r="B33" t="s">
        <v>2186</v>
      </c>
      <c r="C33" t="s">
        <v>2185</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305</v>
      </c>
      <c r="B34" t="s">
        <v>2184</v>
      </c>
      <c r="C34" t="s">
        <v>2183</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311</v>
      </c>
      <c r="B35" t="s">
        <v>2182</v>
      </c>
      <c r="C35" t="s">
        <v>2181</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317</v>
      </c>
      <c r="B36" t="s">
        <v>2180</v>
      </c>
      <c r="C36" t="s">
        <v>2179</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2178</v>
      </c>
      <c r="B37" t="s">
        <v>2177</v>
      </c>
      <c r="C37" t="s">
        <v>2176</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287</v>
      </c>
      <c r="B38" t="s">
        <v>2175</v>
      </c>
      <c r="C38" t="s">
        <v>2174</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226</v>
      </c>
      <c r="B39" t="s">
        <v>2173</v>
      </c>
      <c r="C39" t="s">
        <v>2172</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181</v>
      </c>
      <c r="B40" t="s">
        <v>2171</v>
      </c>
      <c r="C40" t="s">
        <v>2170</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184</v>
      </c>
      <c r="B41" t="s">
        <v>2169</v>
      </c>
      <c r="C41" t="s">
        <v>2168</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187</v>
      </c>
      <c r="B42" t="s">
        <v>2167</v>
      </c>
      <c r="C42" t="s">
        <v>2166</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227</v>
      </c>
      <c r="B43" t="s">
        <v>2165</v>
      </c>
      <c r="C43" t="s">
        <v>2164</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228</v>
      </c>
      <c r="B44" t="s">
        <v>2163</v>
      </c>
      <c r="C44" t="s">
        <v>2162</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230</v>
      </c>
      <c r="B45" t="s">
        <v>2161</v>
      </c>
      <c r="C45" t="s">
        <v>2160</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2159</v>
      </c>
      <c r="C46" t="s">
        <v>2158</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2157</v>
      </c>
      <c r="C47" t="s">
        <v>2156</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574</v>
      </c>
      <c r="B48" t="s">
        <v>2155</v>
      </c>
      <c r="C48" t="s">
        <v>2154</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571</v>
      </c>
      <c r="B49" t="s">
        <v>2153</v>
      </c>
      <c r="C49" t="s">
        <v>2152</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568</v>
      </c>
      <c r="B50" t="s">
        <v>2151</v>
      </c>
      <c r="C50" t="s">
        <v>2150</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2149</v>
      </c>
      <c r="B51" t="s">
        <v>2148</v>
      </c>
      <c r="C51" t="s">
        <v>2147</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4.25"/>
  <cols>
    <col min="2" max="2" width="35.2656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2144</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4.25"/>
  <cols>
    <col min="1" max="1" width="41.265625" customWidth="1"/>
  </cols>
  <sheetData>
    <row r="1" spans="1:31">
      <c r="A1" t="s">
        <v>219</v>
      </c>
    </row>
    <row r="2" spans="1:31">
      <c r="A2" t="s">
        <v>2812</v>
      </c>
    </row>
    <row r="3" spans="1:31">
      <c r="A3" t="s">
        <v>2811</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1149</v>
      </c>
      <c r="B6" t="s">
        <v>2810</v>
      </c>
      <c r="C6" t="s">
        <v>2809</v>
      </c>
      <c r="D6" t="s">
        <v>220</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9">
        <v>1.2E-2</v>
      </c>
    </row>
    <row r="7" spans="1:31">
      <c r="A7" t="s">
        <v>115</v>
      </c>
    </row>
    <row r="8" spans="1:31">
      <c r="A8" t="s">
        <v>200</v>
      </c>
      <c r="B8" t="s">
        <v>2808</v>
      </c>
      <c r="C8" t="s">
        <v>2807</v>
      </c>
      <c r="D8" t="s">
        <v>221</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9">
        <v>0</v>
      </c>
    </row>
    <row r="9" spans="1:31">
      <c r="A9" t="s">
        <v>201</v>
      </c>
      <c r="B9" t="s">
        <v>2806</v>
      </c>
      <c r="C9" t="s">
        <v>2805</v>
      </c>
      <c r="D9" t="s">
        <v>221</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9">
        <v>1E-3</v>
      </c>
    </row>
    <row r="10" spans="1:31">
      <c r="A10" t="s">
        <v>114</v>
      </c>
    </row>
    <row r="11" spans="1:31">
      <c r="A11" t="s">
        <v>202</v>
      </c>
    </row>
    <row r="12" spans="1:31">
      <c r="A12" t="s">
        <v>203</v>
      </c>
      <c r="B12" t="s">
        <v>2804</v>
      </c>
      <c r="C12" t="s">
        <v>2803</v>
      </c>
      <c r="D12" t="s">
        <v>222</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9">
        <v>3.0000000000000001E-3</v>
      </c>
    </row>
    <row r="13" spans="1:31">
      <c r="A13" t="s">
        <v>204</v>
      </c>
      <c r="B13" t="s">
        <v>2802</v>
      </c>
      <c r="C13" t="s">
        <v>2801</v>
      </c>
      <c r="D13" t="s">
        <v>222</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9">
        <v>8.9999999999999993E-3</v>
      </c>
    </row>
    <row r="14" spans="1:31">
      <c r="A14" t="s">
        <v>713</v>
      </c>
      <c r="B14" t="s">
        <v>2800</v>
      </c>
      <c r="C14" t="s">
        <v>2799</v>
      </c>
      <c r="D14" t="s">
        <v>222</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9">
        <v>5.0000000000000001E-3</v>
      </c>
    </row>
    <row r="15" spans="1:31">
      <c r="A15" t="s">
        <v>710</v>
      </c>
      <c r="B15" t="s">
        <v>2798</v>
      </c>
      <c r="C15" t="s">
        <v>2797</v>
      </c>
      <c r="D15" t="s">
        <v>222</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9">
        <v>0</v>
      </c>
    </row>
    <row r="16" spans="1:31">
      <c r="A16" t="s">
        <v>336</v>
      </c>
      <c r="B16" t="s">
        <v>2796</v>
      </c>
      <c r="C16" t="s">
        <v>2795</v>
      </c>
      <c r="D16" t="s">
        <v>222</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9">
        <v>-6.0000000000000001E-3</v>
      </c>
    </row>
    <row r="17" spans="1:31">
      <c r="A17" t="s">
        <v>337</v>
      </c>
      <c r="B17" t="s">
        <v>2794</v>
      </c>
      <c r="C17" t="s">
        <v>2793</v>
      </c>
      <c r="D17" t="s">
        <v>222</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9">
        <v>8.9999999999999993E-3</v>
      </c>
    </row>
    <row r="18" spans="1:31">
      <c r="A18" t="s">
        <v>338</v>
      </c>
      <c r="B18" t="s">
        <v>2792</v>
      </c>
      <c r="C18" t="s">
        <v>2791</v>
      </c>
      <c r="D18" t="s">
        <v>222</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9">
        <v>-5.0000000000000001E-3</v>
      </c>
    </row>
    <row r="19" spans="1:31">
      <c r="A19" t="s">
        <v>339</v>
      </c>
      <c r="B19" t="s">
        <v>2790</v>
      </c>
      <c r="C19" t="s">
        <v>2789</v>
      </c>
      <c r="D19" t="s">
        <v>222</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9">
        <v>-2E-3</v>
      </c>
    </row>
    <row r="20" spans="1:31">
      <c r="A20" t="s">
        <v>699</v>
      </c>
      <c r="B20" t="s">
        <v>2788</v>
      </c>
      <c r="C20" t="s">
        <v>2787</v>
      </c>
      <c r="D20" t="s">
        <v>222</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9">
        <v>5.0000000000000001E-3</v>
      </c>
    </row>
    <row r="21" spans="1:31">
      <c r="A21" t="s">
        <v>206</v>
      </c>
      <c r="B21" t="s">
        <v>2786</v>
      </c>
      <c r="C21" t="s">
        <v>2785</v>
      </c>
      <c r="D21" t="s">
        <v>222</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9">
        <v>-5.0000000000000001E-3</v>
      </c>
    </row>
    <row r="22" spans="1:31">
      <c r="A22" t="s">
        <v>340</v>
      </c>
      <c r="B22" t="s">
        <v>2784</v>
      </c>
      <c r="C22" t="s">
        <v>2783</v>
      </c>
      <c r="D22" t="s">
        <v>222</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9">
        <v>6.0000000000000001E-3</v>
      </c>
    </row>
    <row r="23" spans="1:31">
      <c r="A23" t="s">
        <v>692</v>
      </c>
      <c r="B23" t="s">
        <v>2782</v>
      </c>
      <c r="C23" t="s">
        <v>2781</v>
      </c>
      <c r="D23" t="s">
        <v>222</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9">
        <v>8.0000000000000002E-3</v>
      </c>
    </row>
    <row r="24" spans="1:31">
      <c r="A24" t="s">
        <v>341</v>
      </c>
      <c r="B24" t="s">
        <v>2780</v>
      </c>
      <c r="C24" t="s">
        <v>2779</v>
      </c>
      <c r="D24" t="s">
        <v>222</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9">
        <v>1.2999999999999999E-2</v>
      </c>
    </row>
    <row r="25" spans="1:31">
      <c r="A25" t="s">
        <v>205</v>
      </c>
      <c r="B25" t="s">
        <v>2778</v>
      </c>
      <c r="C25" t="s">
        <v>2777</v>
      </c>
      <c r="D25" t="s">
        <v>222</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9">
        <v>1.9E-2</v>
      </c>
    </row>
    <row r="26" spans="1:31">
      <c r="A26" t="s">
        <v>342</v>
      </c>
      <c r="B26" t="s">
        <v>2776</v>
      </c>
      <c r="C26" t="s">
        <v>2775</v>
      </c>
      <c r="D26" t="s">
        <v>222</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9">
        <v>1E-3</v>
      </c>
    </row>
    <row r="27" spans="1:31">
      <c r="A27" t="s">
        <v>683</v>
      </c>
      <c r="B27" t="s">
        <v>2774</v>
      </c>
      <c r="C27" t="s">
        <v>2773</v>
      </c>
      <c r="D27" t="s">
        <v>222</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9">
        <v>5.0000000000000001E-3</v>
      </c>
    </row>
    <row r="28" spans="1:31">
      <c r="A28" t="s">
        <v>113</v>
      </c>
    </row>
    <row r="29" spans="1:31">
      <c r="A29" t="s">
        <v>207</v>
      </c>
    </row>
    <row r="30" spans="1:31">
      <c r="A30" t="s">
        <v>198</v>
      </c>
    </row>
    <row r="31" spans="1:31">
      <c r="A31" t="s">
        <v>203</v>
      </c>
      <c r="B31" t="s">
        <v>2772</v>
      </c>
      <c r="C31" t="s">
        <v>2771</v>
      </c>
      <c r="D31" t="s">
        <v>194</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9">
        <v>1.6E-2</v>
      </c>
    </row>
    <row r="32" spans="1:31">
      <c r="A32" t="s">
        <v>204</v>
      </c>
      <c r="B32" t="s">
        <v>2770</v>
      </c>
      <c r="C32" t="s">
        <v>2769</v>
      </c>
      <c r="D32" t="s">
        <v>194</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9">
        <v>1.7000000000000001E-2</v>
      </c>
    </row>
    <row r="33" spans="1:31">
      <c r="A33" t="s">
        <v>713</v>
      </c>
      <c r="B33" t="s">
        <v>2768</v>
      </c>
      <c r="C33" t="s">
        <v>2767</v>
      </c>
      <c r="D33" t="s">
        <v>194</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9">
        <v>3.5000000000000003E-2</v>
      </c>
    </row>
    <row r="34" spans="1:31">
      <c r="A34" t="s">
        <v>710</v>
      </c>
      <c r="B34" t="s">
        <v>2766</v>
      </c>
      <c r="C34" t="s">
        <v>2765</v>
      </c>
      <c r="D34" t="s">
        <v>194</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9">
        <v>2.1000000000000001E-2</v>
      </c>
    </row>
    <row r="35" spans="1:31">
      <c r="A35" t="s">
        <v>336</v>
      </c>
      <c r="B35" t="s">
        <v>2764</v>
      </c>
      <c r="C35" t="s">
        <v>2763</v>
      </c>
      <c r="D35" t="s">
        <v>194</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9">
        <v>5.0000000000000001E-3</v>
      </c>
    </row>
    <row r="36" spans="1:31">
      <c r="A36" t="s">
        <v>337</v>
      </c>
      <c r="B36" t="s">
        <v>2762</v>
      </c>
      <c r="C36" t="s">
        <v>2761</v>
      </c>
      <c r="D36" t="s">
        <v>194</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9">
        <v>2.3E-2</v>
      </c>
    </row>
    <row r="37" spans="1:31">
      <c r="A37" t="s">
        <v>338</v>
      </c>
      <c r="B37" t="s">
        <v>2760</v>
      </c>
      <c r="C37" t="s">
        <v>2759</v>
      </c>
      <c r="D37" t="s">
        <v>194</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9">
        <v>0.01</v>
      </c>
    </row>
    <row r="38" spans="1:31">
      <c r="A38" t="s">
        <v>339</v>
      </c>
      <c r="B38" t="s">
        <v>2758</v>
      </c>
      <c r="C38" t="s">
        <v>2757</v>
      </c>
      <c r="D38" t="s">
        <v>194</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9">
        <v>1.2E-2</v>
      </c>
    </row>
    <row r="39" spans="1:31">
      <c r="A39" t="s">
        <v>699</v>
      </c>
      <c r="B39" t="s">
        <v>2756</v>
      </c>
      <c r="C39" t="s">
        <v>2755</v>
      </c>
      <c r="D39" t="s">
        <v>194</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9">
        <v>3.2000000000000001E-2</v>
      </c>
    </row>
    <row r="40" spans="1:31">
      <c r="A40" t="s">
        <v>206</v>
      </c>
      <c r="B40" t="s">
        <v>2754</v>
      </c>
      <c r="C40" t="s">
        <v>2753</v>
      </c>
      <c r="D40" t="s">
        <v>194</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9">
        <v>4.2999999999999997E-2</v>
      </c>
    </row>
    <row r="41" spans="1:31">
      <c r="A41" t="s">
        <v>340</v>
      </c>
      <c r="B41" t="s">
        <v>2752</v>
      </c>
      <c r="C41" t="s">
        <v>2751</v>
      </c>
      <c r="D41" t="s">
        <v>194</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9">
        <v>0.06</v>
      </c>
    </row>
    <row r="42" spans="1:31">
      <c r="A42" t="s">
        <v>692</v>
      </c>
      <c r="B42" t="s">
        <v>2750</v>
      </c>
      <c r="C42" t="s">
        <v>2749</v>
      </c>
      <c r="D42" t="s">
        <v>194</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9">
        <v>4.2999999999999997E-2</v>
      </c>
    </row>
    <row r="43" spans="1:31">
      <c r="A43" t="s">
        <v>341</v>
      </c>
      <c r="B43" t="s">
        <v>2748</v>
      </c>
      <c r="C43" t="s">
        <v>2747</v>
      </c>
      <c r="D43" t="s">
        <v>194</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9">
        <v>3.5999999999999997E-2</v>
      </c>
    </row>
    <row r="44" spans="1:31">
      <c r="A44" t="s">
        <v>205</v>
      </c>
      <c r="B44" t="s">
        <v>2746</v>
      </c>
      <c r="C44" t="s">
        <v>2745</v>
      </c>
      <c r="D44" t="s">
        <v>194</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9">
        <v>4.2999999999999997E-2</v>
      </c>
    </row>
    <row r="45" spans="1:31">
      <c r="A45" t="s">
        <v>342</v>
      </c>
      <c r="B45" t="s">
        <v>2744</v>
      </c>
      <c r="C45" t="s">
        <v>2743</v>
      </c>
      <c r="D45" t="s">
        <v>194</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9">
        <v>1.6E-2</v>
      </c>
    </row>
    <row r="46" spans="1:31">
      <c r="A46" t="s">
        <v>683</v>
      </c>
      <c r="B46" t="s">
        <v>2742</v>
      </c>
      <c r="C46" t="s">
        <v>2741</v>
      </c>
      <c r="D46" t="s">
        <v>194</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9">
        <v>2.4E-2</v>
      </c>
    </row>
    <row r="47" spans="1:31">
      <c r="A47" t="s">
        <v>343</v>
      </c>
      <c r="B47" t="s">
        <v>2740</v>
      </c>
      <c r="C47" t="s">
        <v>2739</v>
      </c>
      <c r="D47" t="s">
        <v>194</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9">
        <v>0.03</v>
      </c>
    </row>
    <row r="48" spans="1:31">
      <c r="A48" t="s">
        <v>199</v>
      </c>
    </row>
    <row r="49" spans="1:31">
      <c r="A49" t="s">
        <v>203</v>
      </c>
      <c r="B49" t="s">
        <v>2738</v>
      </c>
      <c r="C49" t="s">
        <v>2737</v>
      </c>
      <c r="D49" t="s">
        <v>194</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9">
        <v>0.02</v>
      </c>
    </row>
    <row r="50" spans="1:31">
      <c r="A50" t="s">
        <v>204</v>
      </c>
      <c r="B50" t="s">
        <v>2736</v>
      </c>
      <c r="C50" t="s">
        <v>2735</v>
      </c>
      <c r="D50" t="s">
        <v>194</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9">
        <v>2.5000000000000001E-2</v>
      </c>
    </row>
    <row r="51" spans="1:31">
      <c r="A51" t="s">
        <v>713</v>
      </c>
      <c r="B51" t="s">
        <v>2734</v>
      </c>
      <c r="C51" t="s">
        <v>2733</v>
      </c>
      <c r="D51" t="s">
        <v>194</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9">
        <v>0.03</v>
      </c>
    </row>
    <row r="52" spans="1:31">
      <c r="A52" t="s">
        <v>710</v>
      </c>
      <c r="B52" t="s">
        <v>2732</v>
      </c>
      <c r="C52" t="s">
        <v>2731</v>
      </c>
      <c r="D52" t="s">
        <v>194</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9">
        <v>1.9E-2</v>
      </c>
    </row>
    <row r="53" spans="1:31">
      <c r="A53" t="s">
        <v>336</v>
      </c>
      <c r="B53" t="s">
        <v>2730</v>
      </c>
      <c r="C53" t="s">
        <v>2729</v>
      </c>
      <c r="D53" t="s">
        <v>194</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9">
        <v>1E-3</v>
      </c>
    </row>
    <row r="54" spans="1:31">
      <c r="A54" t="s">
        <v>337</v>
      </c>
      <c r="B54" t="s">
        <v>2728</v>
      </c>
      <c r="C54" t="s">
        <v>2727</v>
      </c>
      <c r="D54" t="s">
        <v>194</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9">
        <v>2.8000000000000001E-2</v>
      </c>
    </row>
    <row r="55" spans="1:31">
      <c r="A55" t="s">
        <v>338</v>
      </c>
      <c r="B55" t="s">
        <v>2726</v>
      </c>
      <c r="C55" t="s">
        <v>2725</v>
      </c>
      <c r="D55" t="s">
        <v>194</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9">
        <v>0.03</v>
      </c>
    </row>
    <row r="56" spans="1:31">
      <c r="A56" t="s">
        <v>339</v>
      </c>
      <c r="B56" t="s">
        <v>2724</v>
      </c>
      <c r="C56" t="s">
        <v>2723</v>
      </c>
      <c r="D56" t="s">
        <v>194</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9">
        <v>3.5000000000000003E-2</v>
      </c>
    </row>
    <row r="57" spans="1:31">
      <c r="A57" t="s">
        <v>699</v>
      </c>
      <c r="B57" t="s">
        <v>2722</v>
      </c>
      <c r="C57" t="s">
        <v>2721</v>
      </c>
      <c r="D57" t="s">
        <v>194</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9">
        <v>3.4000000000000002E-2</v>
      </c>
    </row>
    <row r="58" spans="1:31">
      <c r="A58" t="s">
        <v>206</v>
      </c>
      <c r="B58" t="s">
        <v>2720</v>
      </c>
      <c r="C58" t="s">
        <v>2719</v>
      </c>
      <c r="D58" t="s">
        <v>194</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9">
        <v>4.3999999999999997E-2</v>
      </c>
    </row>
    <row r="59" spans="1:31">
      <c r="A59" t="s">
        <v>340</v>
      </c>
      <c r="B59" t="s">
        <v>2718</v>
      </c>
      <c r="C59" t="s">
        <v>2717</v>
      </c>
      <c r="D59" t="s">
        <v>194</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9">
        <v>5.2999999999999999E-2</v>
      </c>
    </row>
    <row r="60" spans="1:31">
      <c r="A60" t="s">
        <v>692</v>
      </c>
      <c r="B60" t="s">
        <v>2716</v>
      </c>
      <c r="C60" t="s">
        <v>2715</v>
      </c>
      <c r="D60" t="s">
        <v>194</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9">
        <v>3.6999999999999998E-2</v>
      </c>
    </row>
    <row r="61" spans="1:31">
      <c r="A61" t="s">
        <v>341</v>
      </c>
      <c r="B61" t="s">
        <v>2714</v>
      </c>
      <c r="C61" t="s">
        <v>2713</v>
      </c>
      <c r="D61" t="s">
        <v>194</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9">
        <v>0.04</v>
      </c>
    </row>
    <row r="62" spans="1:31">
      <c r="A62" t="s">
        <v>205</v>
      </c>
      <c r="B62" t="s">
        <v>2712</v>
      </c>
      <c r="C62" t="s">
        <v>2711</v>
      </c>
      <c r="D62" t="s">
        <v>194</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9">
        <v>3.9E-2</v>
      </c>
    </row>
    <row r="63" spans="1:31">
      <c r="A63" t="s">
        <v>342</v>
      </c>
      <c r="B63" t="s">
        <v>2710</v>
      </c>
      <c r="C63" t="s">
        <v>2709</v>
      </c>
      <c r="D63" t="s">
        <v>194</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9">
        <v>1.9E-2</v>
      </c>
    </row>
    <row r="64" spans="1:31">
      <c r="A64" t="s">
        <v>683</v>
      </c>
      <c r="B64" t="s">
        <v>2708</v>
      </c>
      <c r="C64" t="s">
        <v>2707</v>
      </c>
      <c r="D64" t="s">
        <v>194</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9">
        <v>0.03</v>
      </c>
    </row>
    <row r="65" spans="1:31">
      <c r="A65" t="s">
        <v>344</v>
      </c>
      <c r="B65" t="s">
        <v>2706</v>
      </c>
      <c r="C65" t="s">
        <v>2704</v>
      </c>
      <c r="D65" t="s">
        <v>194</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9">
        <v>0.03</v>
      </c>
    </row>
    <row r="66" spans="1:31">
      <c r="A66" t="s">
        <v>111</v>
      </c>
      <c r="B66" t="s">
        <v>2705</v>
      </c>
      <c r="C66" t="s">
        <v>2704</v>
      </c>
      <c r="D66" t="s">
        <v>194</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9">
        <v>0.03</v>
      </c>
    </row>
    <row r="67" spans="1:31" s="5" customFormat="1">
      <c r="A67" s="5" t="s">
        <v>208</v>
      </c>
    </row>
    <row r="68" spans="1:31" s="5" customFormat="1">
      <c r="A68" s="5" t="s">
        <v>203</v>
      </c>
      <c r="B68" s="5" t="s">
        <v>2703</v>
      </c>
      <c r="C68" s="5" t="s">
        <v>2702</v>
      </c>
      <c r="D68" s="5" t="s">
        <v>194</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43">
        <v>1.9E-2</v>
      </c>
    </row>
    <row r="69" spans="1:31">
      <c r="A69" t="s">
        <v>204</v>
      </c>
      <c r="B69" t="s">
        <v>2701</v>
      </c>
      <c r="C69" t="s">
        <v>2700</v>
      </c>
      <c r="D69" t="s">
        <v>194</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9">
        <v>4.0000000000000001E-3</v>
      </c>
    </row>
    <row r="70" spans="1:31">
      <c r="A70" t="s">
        <v>713</v>
      </c>
      <c r="B70" t="s">
        <v>2699</v>
      </c>
      <c r="C70" t="s">
        <v>2698</v>
      </c>
      <c r="D70" t="s">
        <v>194</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9">
        <v>2.5999999999999999E-2</v>
      </c>
    </row>
    <row r="71" spans="1:31">
      <c r="A71" t="s">
        <v>710</v>
      </c>
      <c r="B71" t="s">
        <v>2697</v>
      </c>
      <c r="C71" t="s">
        <v>2696</v>
      </c>
      <c r="D71" t="s">
        <v>194</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9">
        <v>2.9000000000000001E-2</v>
      </c>
    </row>
    <row r="72" spans="1:31">
      <c r="A72" t="s">
        <v>336</v>
      </c>
      <c r="B72" t="s">
        <v>2695</v>
      </c>
      <c r="C72" t="s">
        <v>2694</v>
      </c>
      <c r="D72" t="s">
        <v>194</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9">
        <v>2E-3</v>
      </c>
    </row>
    <row r="73" spans="1:31">
      <c r="A73" t="s">
        <v>337</v>
      </c>
      <c r="B73" t="s">
        <v>2693</v>
      </c>
      <c r="C73" t="s">
        <v>2692</v>
      </c>
      <c r="D73" t="s">
        <v>194</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9">
        <v>1.7000000000000001E-2</v>
      </c>
    </row>
    <row r="74" spans="1:31">
      <c r="A74" t="s">
        <v>338</v>
      </c>
      <c r="B74" t="s">
        <v>2691</v>
      </c>
      <c r="C74" t="s">
        <v>2690</v>
      </c>
      <c r="D74" t="s">
        <v>194</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9">
        <v>1.4E-2</v>
      </c>
    </row>
    <row r="75" spans="1:31">
      <c r="A75" t="s">
        <v>339</v>
      </c>
      <c r="B75" t="s">
        <v>2689</v>
      </c>
      <c r="C75" t="s">
        <v>2688</v>
      </c>
      <c r="D75" t="s">
        <v>194</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9">
        <v>1.6E-2</v>
      </c>
    </row>
    <row r="76" spans="1:31">
      <c r="A76" t="s">
        <v>699</v>
      </c>
      <c r="B76" t="s">
        <v>2687</v>
      </c>
      <c r="C76" t="s">
        <v>2686</v>
      </c>
      <c r="D76" t="s">
        <v>194</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9">
        <v>-3.9E-2</v>
      </c>
    </row>
    <row r="77" spans="1:31">
      <c r="A77" t="s">
        <v>206</v>
      </c>
      <c r="B77" t="s">
        <v>2685</v>
      </c>
      <c r="C77" t="s">
        <v>2684</v>
      </c>
      <c r="D77" t="s">
        <v>194</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9">
        <v>2.5000000000000001E-2</v>
      </c>
    </row>
    <row r="78" spans="1:31">
      <c r="A78" t="s">
        <v>340</v>
      </c>
      <c r="B78" t="s">
        <v>2683</v>
      </c>
      <c r="C78" t="s">
        <v>2682</v>
      </c>
      <c r="D78" t="s">
        <v>194</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9">
        <v>3.4000000000000002E-2</v>
      </c>
    </row>
    <row r="79" spans="1:31">
      <c r="A79" t="s">
        <v>692</v>
      </c>
      <c r="B79" t="s">
        <v>2681</v>
      </c>
      <c r="C79" t="s">
        <v>2680</v>
      </c>
      <c r="D79" t="s">
        <v>194</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9">
        <v>1.2E-2</v>
      </c>
    </row>
    <row r="80" spans="1:31">
      <c r="A80" t="s">
        <v>341</v>
      </c>
      <c r="B80" t="s">
        <v>2679</v>
      </c>
      <c r="C80" t="s">
        <v>2678</v>
      </c>
      <c r="D80" t="s">
        <v>194</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9">
        <v>-1.7999999999999999E-2</v>
      </c>
    </row>
    <row r="81" spans="1:31">
      <c r="A81" t="s">
        <v>205</v>
      </c>
      <c r="B81" t="s">
        <v>2677</v>
      </c>
      <c r="C81" t="s">
        <v>2676</v>
      </c>
      <c r="D81" t="s">
        <v>194</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9">
        <v>3.5999999999999997E-2</v>
      </c>
    </row>
    <row r="82" spans="1:31">
      <c r="A82" t="s">
        <v>342</v>
      </c>
      <c r="B82" t="s">
        <v>2675</v>
      </c>
      <c r="C82" t="s">
        <v>2674</v>
      </c>
      <c r="D82" t="s">
        <v>194</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9">
        <v>8.9999999999999993E-3</v>
      </c>
    </row>
    <row r="83" spans="1:31">
      <c r="A83" t="s">
        <v>683</v>
      </c>
      <c r="B83" t="s">
        <v>2673</v>
      </c>
      <c r="C83" t="s">
        <v>2672</v>
      </c>
      <c r="D83" t="s">
        <v>194</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9">
        <v>3.5000000000000003E-2</v>
      </c>
    </row>
    <row r="84" spans="1:31">
      <c r="A84" t="s">
        <v>343</v>
      </c>
      <c r="B84" t="s">
        <v>2671</v>
      </c>
      <c r="C84" t="s">
        <v>2668</v>
      </c>
      <c r="D84" t="s">
        <v>194</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9">
        <v>1.4999999999999999E-2</v>
      </c>
    </row>
    <row r="85" spans="1:31">
      <c r="A85" t="s">
        <v>344</v>
      </c>
      <c r="B85" t="s">
        <v>2670</v>
      </c>
      <c r="C85" t="s">
        <v>2668</v>
      </c>
      <c r="D85" t="s">
        <v>194</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9">
        <v>2.1999999999999999E-2</v>
      </c>
    </row>
    <row r="86" spans="1:31">
      <c r="A86" t="s">
        <v>111</v>
      </c>
      <c r="B86" t="s">
        <v>2669</v>
      </c>
      <c r="C86" t="s">
        <v>2668</v>
      </c>
      <c r="D86" t="s">
        <v>194</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9">
        <v>0.02</v>
      </c>
    </row>
    <row r="87" spans="1:31">
      <c r="A87" t="s">
        <v>112</v>
      </c>
    </row>
    <row r="88" spans="1:31">
      <c r="A88" t="s">
        <v>203</v>
      </c>
      <c r="B88" t="s">
        <v>2667</v>
      </c>
      <c r="C88" t="s">
        <v>2666</v>
      </c>
      <c r="D88" t="s">
        <v>194</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9">
        <v>1.7000000000000001E-2</v>
      </c>
    </row>
    <row r="89" spans="1:31">
      <c r="A89" t="s">
        <v>209</v>
      </c>
      <c r="B89" t="s">
        <v>2665</v>
      </c>
      <c r="C89" t="s">
        <v>2664</v>
      </c>
      <c r="D89" t="s">
        <v>194</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9">
        <v>1.6E-2</v>
      </c>
    </row>
    <row r="90" spans="1:31">
      <c r="A90" t="s">
        <v>210</v>
      </c>
      <c r="B90" t="s">
        <v>2663</v>
      </c>
      <c r="C90" t="s">
        <v>2662</v>
      </c>
      <c r="D90" t="s">
        <v>194</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9">
        <v>1.9E-2</v>
      </c>
    </row>
    <row r="91" spans="1:31">
      <c r="A91" t="s">
        <v>211</v>
      </c>
      <c r="B91" t="s">
        <v>2661</v>
      </c>
      <c r="C91" t="s">
        <v>2660</v>
      </c>
      <c r="D91" t="s">
        <v>194</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9">
        <v>1.6E-2</v>
      </c>
    </row>
    <row r="92" spans="1:31">
      <c r="A92" t="s">
        <v>204</v>
      </c>
      <c r="B92" t="s">
        <v>2659</v>
      </c>
      <c r="C92" t="s">
        <v>2658</v>
      </c>
      <c r="D92" t="s">
        <v>194</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9">
        <v>2.1999999999999999E-2</v>
      </c>
    </row>
    <row r="93" spans="1:31">
      <c r="A93" t="s">
        <v>209</v>
      </c>
      <c r="B93" t="s">
        <v>2657</v>
      </c>
      <c r="C93" t="s">
        <v>2656</v>
      </c>
      <c r="D93" t="s">
        <v>194</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9">
        <v>1.9E-2</v>
      </c>
    </row>
    <row r="94" spans="1:31">
      <c r="A94" t="s">
        <v>210</v>
      </c>
      <c r="B94" t="s">
        <v>2655</v>
      </c>
      <c r="C94" t="s">
        <v>2654</v>
      </c>
      <c r="D94" t="s">
        <v>194</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9">
        <v>2.4E-2</v>
      </c>
    </row>
    <row r="95" spans="1:31">
      <c r="A95" t="s">
        <v>211</v>
      </c>
      <c r="B95" t="s">
        <v>2653</v>
      </c>
      <c r="C95" t="s">
        <v>2652</v>
      </c>
      <c r="D95" t="s">
        <v>194</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9">
        <v>0.02</v>
      </c>
    </row>
    <row r="96" spans="1:31">
      <c r="A96" t="s">
        <v>713</v>
      </c>
      <c r="B96" t="s">
        <v>2651</v>
      </c>
      <c r="C96" t="s">
        <v>2650</v>
      </c>
      <c r="D96" t="s">
        <v>194</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9">
        <v>3.2000000000000001E-2</v>
      </c>
    </row>
    <row r="97" spans="1:31">
      <c r="A97" t="s">
        <v>209</v>
      </c>
      <c r="B97" t="s">
        <v>2649</v>
      </c>
      <c r="C97" t="s">
        <v>2648</v>
      </c>
      <c r="D97" t="s">
        <v>194</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9">
        <v>3.2000000000000001E-2</v>
      </c>
    </row>
    <row r="98" spans="1:31">
      <c r="A98" t="s">
        <v>210</v>
      </c>
      <c r="B98" t="s">
        <v>2647</v>
      </c>
      <c r="C98" t="s">
        <v>2646</v>
      </c>
      <c r="D98" t="s">
        <v>194</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9">
        <v>0.03</v>
      </c>
    </row>
    <row r="99" spans="1:31">
      <c r="A99" t="s">
        <v>211</v>
      </c>
      <c r="B99" t="s">
        <v>2645</v>
      </c>
      <c r="C99" t="s">
        <v>2644</v>
      </c>
      <c r="D99" t="s">
        <v>194</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9">
        <v>3.4000000000000002E-2</v>
      </c>
    </row>
    <row r="100" spans="1:31">
      <c r="A100" t="s">
        <v>710</v>
      </c>
      <c r="B100" t="s">
        <v>2643</v>
      </c>
      <c r="C100" t="s">
        <v>2642</v>
      </c>
      <c r="D100" t="s">
        <v>194</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9">
        <v>1.9E-2</v>
      </c>
    </row>
    <row r="101" spans="1:31">
      <c r="A101" t="s">
        <v>209</v>
      </c>
      <c r="B101" t="s">
        <v>2641</v>
      </c>
      <c r="C101" t="s">
        <v>2640</v>
      </c>
      <c r="D101" t="s">
        <v>194</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9">
        <v>0.02</v>
      </c>
    </row>
    <row r="102" spans="1:31">
      <c r="A102" t="s">
        <v>210</v>
      </c>
      <c r="B102" t="s">
        <v>2639</v>
      </c>
      <c r="C102" t="s">
        <v>2638</v>
      </c>
      <c r="D102" t="s">
        <v>194</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9">
        <v>1.7999999999999999E-2</v>
      </c>
    </row>
    <row r="103" spans="1:31">
      <c r="A103" t="s">
        <v>211</v>
      </c>
      <c r="B103" t="s">
        <v>2637</v>
      </c>
      <c r="C103" t="s">
        <v>2636</v>
      </c>
      <c r="D103" t="s">
        <v>194</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9">
        <v>0.02</v>
      </c>
    </row>
    <row r="104" spans="1:31">
      <c r="A104" t="s">
        <v>336</v>
      </c>
      <c r="B104" t="s">
        <v>2635</v>
      </c>
      <c r="C104" t="s">
        <v>2634</v>
      </c>
      <c r="D104" t="s">
        <v>194</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9">
        <v>1E-3</v>
      </c>
    </row>
    <row r="105" spans="1:31">
      <c r="A105" t="s">
        <v>209</v>
      </c>
      <c r="B105" t="s">
        <v>2633</v>
      </c>
      <c r="C105" t="s">
        <v>2632</v>
      </c>
      <c r="D105" t="s">
        <v>194</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9">
        <v>4.0000000000000001E-3</v>
      </c>
    </row>
    <row r="106" spans="1:31">
      <c r="A106" t="s">
        <v>210</v>
      </c>
      <c r="B106" t="s">
        <v>2631</v>
      </c>
      <c r="C106" t="s">
        <v>2630</v>
      </c>
      <c r="D106" t="s">
        <v>194</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9">
        <v>0</v>
      </c>
    </row>
    <row r="107" spans="1:31">
      <c r="A107" t="s">
        <v>211</v>
      </c>
      <c r="B107" t="s">
        <v>2629</v>
      </c>
      <c r="C107" t="s">
        <v>2628</v>
      </c>
      <c r="D107" t="s">
        <v>194</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9">
        <v>5.0000000000000001E-3</v>
      </c>
    </row>
    <row r="108" spans="1:31">
      <c r="A108" t="s">
        <v>337</v>
      </c>
      <c r="B108" t="s">
        <v>2627</v>
      </c>
      <c r="C108" t="s">
        <v>2626</v>
      </c>
      <c r="D108" t="s">
        <v>194</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9">
        <v>2.5000000000000001E-2</v>
      </c>
    </row>
    <row r="109" spans="1:31">
      <c r="A109" t="s">
        <v>209</v>
      </c>
      <c r="B109" t="s">
        <v>2625</v>
      </c>
      <c r="C109" t="s">
        <v>2624</v>
      </c>
      <c r="D109" t="s">
        <v>194</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9">
        <v>2.3E-2</v>
      </c>
    </row>
    <row r="110" spans="1:31">
      <c r="A110" t="s">
        <v>210</v>
      </c>
      <c r="B110" t="s">
        <v>2623</v>
      </c>
      <c r="C110" t="s">
        <v>2622</v>
      </c>
      <c r="D110" t="s">
        <v>194</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9">
        <v>2.7E-2</v>
      </c>
    </row>
    <row r="111" spans="1:31">
      <c r="A111" t="s">
        <v>211</v>
      </c>
      <c r="B111" t="s">
        <v>2621</v>
      </c>
      <c r="C111" t="s">
        <v>2620</v>
      </c>
      <c r="D111" t="s">
        <v>194</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9">
        <v>2.3E-2</v>
      </c>
    </row>
    <row r="112" spans="1:31">
      <c r="A112" t="s">
        <v>338</v>
      </c>
      <c r="B112" t="s">
        <v>2619</v>
      </c>
      <c r="C112" t="s">
        <v>2618</v>
      </c>
      <c r="D112" t="s">
        <v>194</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9">
        <v>2.8000000000000001E-2</v>
      </c>
    </row>
    <row r="113" spans="1:31">
      <c r="A113" t="s">
        <v>209</v>
      </c>
      <c r="B113" t="s">
        <v>2617</v>
      </c>
      <c r="C113" t="s">
        <v>2616</v>
      </c>
      <c r="D113" t="s">
        <v>194</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9">
        <v>2.3E-2</v>
      </c>
    </row>
    <row r="114" spans="1:31">
      <c r="A114" t="s">
        <v>210</v>
      </c>
      <c r="B114" t="s">
        <v>2615</v>
      </c>
      <c r="C114" t="s">
        <v>2614</v>
      </c>
      <c r="D114" t="s">
        <v>194</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9">
        <v>2.9000000000000001E-2</v>
      </c>
    </row>
    <row r="115" spans="1:31">
      <c r="A115" t="s">
        <v>211</v>
      </c>
      <c r="B115" t="s">
        <v>2613</v>
      </c>
      <c r="C115" t="s">
        <v>2612</v>
      </c>
      <c r="D115" t="s">
        <v>194</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9">
        <v>1.7999999999999999E-2</v>
      </c>
    </row>
    <row r="116" spans="1:31">
      <c r="A116" t="s">
        <v>339</v>
      </c>
      <c r="B116" t="s">
        <v>2611</v>
      </c>
      <c r="C116" t="s">
        <v>2610</v>
      </c>
      <c r="D116" t="s">
        <v>194</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9">
        <v>2.3E-2</v>
      </c>
    </row>
    <row r="117" spans="1:31">
      <c r="A117" t="s">
        <v>209</v>
      </c>
      <c r="B117" t="s">
        <v>2609</v>
      </c>
      <c r="C117" t="s">
        <v>2608</v>
      </c>
      <c r="D117" t="s">
        <v>194</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9">
        <v>0.02</v>
      </c>
    </row>
    <row r="118" spans="1:31">
      <c r="A118" t="s">
        <v>210</v>
      </c>
      <c r="B118" t="s">
        <v>2607</v>
      </c>
      <c r="C118" t="s">
        <v>2606</v>
      </c>
      <c r="D118" t="s">
        <v>194</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9">
        <v>3.1E-2</v>
      </c>
    </row>
    <row r="119" spans="1:31">
      <c r="A119" t="s">
        <v>211</v>
      </c>
      <c r="B119" t="s">
        <v>2605</v>
      </c>
      <c r="C119" t="s">
        <v>2604</v>
      </c>
      <c r="D119" t="s">
        <v>194</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9">
        <v>1.6E-2</v>
      </c>
    </row>
    <row r="120" spans="1:31">
      <c r="A120" t="s">
        <v>699</v>
      </c>
      <c r="B120" t="s">
        <v>2603</v>
      </c>
      <c r="C120" t="s">
        <v>2602</v>
      </c>
      <c r="D120" t="s">
        <v>194</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9">
        <v>3.3000000000000002E-2</v>
      </c>
    </row>
    <row r="121" spans="1:31">
      <c r="A121" t="s">
        <v>209</v>
      </c>
      <c r="B121" t="s">
        <v>2601</v>
      </c>
      <c r="C121" t="s">
        <v>2600</v>
      </c>
      <c r="D121" t="s">
        <v>194</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9">
        <v>3.3000000000000002E-2</v>
      </c>
    </row>
    <row r="122" spans="1:31">
      <c r="A122" t="s">
        <v>210</v>
      </c>
      <c r="B122" t="s">
        <v>2599</v>
      </c>
      <c r="C122" t="s">
        <v>2598</v>
      </c>
      <c r="D122" t="s">
        <v>194</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9">
        <v>3.3000000000000002E-2</v>
      </c>
    </row>
    <row r="123" spans="1:31">
      <c r="A123" t="s">
        <v>211</v>
      </c>
      <c r="B123" t="s">
        <v>2597</v>
      </c>
      <c r="C123" t="s">
        <v>2596</v>
      </c>
      <c r="D123" t="s">
        <v>194</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9">
        <v>3.2000000000000001E-2</v>
      </c>
    </row>
    <row r="124" spans="1:31">
      <c r="A124" t="s">
        <v>206</v>
      </c>
      <c r="B124" t="s">
        <v>2595</v>
      </c>
      <c r="C124" t="s">
        <v>2594</v>
      </c>
      <c r="D124" t="s">
        <v>194</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9">
        <v>4.2999999999999997E-2</v>
      </c>
    </row>
    <row r="125" spans="1:31">
      <c r="A125" t="s">
        <v>209</v>
      </c>
      <c r="B125" t="s">
        <v>2593</v>
      </c>
      <c r="C125" t="s">
        <v>2592</v>
      </c>
      <c r="D125" t="s">
        <v>194</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9">
        <v>4.2000000000000003E-2</v>
      </c>
    </row>
    <row r="126" spans="1:31">
      <c r="A126" t="s">
        <v>210</v>
      </c>
      <c r="B126" t="s">
        <v>2591</v>
      </c>
      <c r="C126" t="s">
        <v>2590</v>
      </c>
      <c r="D126" t="s">
        <v>194</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9">
        <v>4.2999999999999997E-2</v>
      </c>
    </row>
    <row r="127" spans="1:31">
      <c r="A127" t="s">
        <v>211</v>
      </c>
      <c r="B127" t="s">
        <v>2589</v>
      </c>
      <c r="C127" t="s">
        <v>2588</v>
      </c>
      <c r="D127" t="s">
        <v>194</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9">
        <v>4.2000000000000003E-2</v>
      </c>
    </row>
    <row r="128" spans="1:31">
      <c r="A128" t="s">
        <v>340</v>
      </c>
      <c r="B128" t="s">
        <v>2587</v>
      </c>
      <c r="C128" t="s">
        <v>2586</v>
      </c>
      <c r="D128" t="s">
        <v>194</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9">
        <v>5.6000000000000001E-2</v>
      </c>
    </row>
    <row r="129" spans="1:31">
      <c r="A129" t="s">
        <v>209</v>
      </c>
      <c r="B129" t="s">
        <v>2585</v>
      </c>
      <c r="C129" t="s">
        <v>2584</v>
      </c>
      <c r="D129" t="s">
        <v>194</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9">
        <v>5.7000000000000002E-2</v>
      </c>
    </row>
    <row r="130" spans="1:31">
      <c r="A130" t="s">
        <v>210</v>
      </c>
      <c r="B130" t="s">
        <v>2583</v>
      </c>
      <c r="C130" t="s">
        <v>2582</v>
      </c>
      <c r="D130" t="s">
        <v>194</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9">
        <v>5.1999999999999998E-2</v>
      </c>
    </row>
    <row r="131" spans="1:31">
      <c r="A131" t="s">
        <v>211</v>
      </c>
      <c r="B131" t="s">
        <v>2581</v>
      </c>
      <c r="C131" t="s">
        <v>2580</v>
      </c>
      <c r="D131" t="s">
        <v>194</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9">
        <v>5.8999999999999997E-2</v>
      </c>
    </row>
    <row r="132" spans="1:31">
      <c r="A132" t="s">
        <v>692</v>
      </c>
      <c r="B132" t="s">
        <v>2579</v>
      </c>
      <c r="C132" t="s">
        <v>2578</v>
      </c>
      <c r="D132" t="s">
        <v>194</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9">
        <v>3.7999999999999999E-2</v>
      </c>
    </row>
    <row r="133" spans="1:31">
      <c r="A133" t="s">
        <v>209</v>
      </c>
      <c r="B133" t="s">
        <v>2577</v>
      </c>
      <c r="C133" t="s">
        <v>2576</v>
      </c>
      <c r="D133" t="s">
        <v>194</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9">
        <v>0.04</v>
      </c>
    </row>
    <row r="134" spans="1:31">
      <c r="A134" t="s">
        <v>210</v>
      </c>
      <c r="B134" t="s">
        <v>2575</v>
      </c>
      <c r="C134" t="s">
        <v>2574</v>
      </c>
      <c r="D134" t="s">
        <v>194</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9">
        <v>3.5999999999999997E-2</v>
      </c>
    </row>
    <row r="135" spans="1:31">
      <c r="A135" t="s">
        <v>211</v>
      </c>
      <c r="B135" t="s">
        <v>2573</v>
      </c>
      <c r="C135" t="s">
        <v>2572</v>
      </c>
      <c r="D135" t="s">
        <v>194</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9">
        <v>4.2000000000000003E-2</v>
      </c>
    </row>
    <row r="136" spans="1:31">
      <c r="A136" t="s">
        <v>341</v>
      </c>
      <c r="B136" t="s">
        <v>2571</v>
      </c>
      <c r="C136" t="s">
        <v>2570</v>
      </c>
      <c r="D136" t="s">
        <v>194</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9">
        <v>3.9E-2</v>
      </c>
    </row>
    <row r="137" spans="1:31">
      <c r="A137" t="s">
        <v>209</v>
      </c>
      <c r="B137" t="s">
        <v>2569</v>
      </c>
      <c r="C137" t="s">
        <v>2568</v>
      </c>
      <c r="D137" t="s">
        <v>194</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9">
        <v>3.7999999999999999E-2</v>
      </c>
    </row>
    <row r="138" spans="1:31">
      <c r="A138" t="s">
        <v>210</v>
      </c>
      <c r="B138" t="s">
        <v>2567</v>
      </c>
      <c r="C138" t="s">
        <v>2566</v>
      </c>
      <c r="D138" t="s">
        <v>194</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9">
        <v>3.9E-2</v>
      </c>
    </row>
    <row r="139" spans="1:31">
      <c r="A139" t="s">
        <v>211</v>
      </c>
      <c r="B139" t="s">
        <v>2565</v>
      </c>
      <c r="C139" t="s">
        <v>2564</v>
      </c>
      <c r="D139" t="s">
        <v>194</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9">
        <v>3.5000000000000003E-2</v>
      </c>
    </row>
    <row r="140" spans="1:31">
      <c r="A140" t="s">
        <v>205</v>
      </c>
      <c r="B140" t="s">
        <v>2563</v>
      </c>
      <c r="C140" t="s">
        <v>2562</v>
      </c>
      <c r="D140" t="s">
        <v>194</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9">
        <v>0.04</v>
      </c>
    </row>
    <row r="141" spans="1:31">
      <c r="A141" t="s">
        <v>209</v>
      </c>
      <c r="B141" t="s">
        <v>2561</v>
      </c>
      <c r="C141" t="s">
        <v>2560</v>
      </c>
      <c r="D141" t="s">
        <v>194</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9">
        <v>0.04</v>
      </c>
    </row>
    <row r="142" spans="1:31">
      <c r="A142" t="s">
        <v>210</v>
      </c>
      <c r="B142" t="s">
        <v>2559</v>
      </c>
      <c r="C142" t="s">
        <v>2558</v>
      </c>
      <c r="D142" t="s">
        <v>194</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9">
        <v>3.9E-2</v>
      </c>
    </row>
    <row r="143" spans="1:31">
      <c r="A143" t="s">
        <v>211</v>
      </c>
      <c r="B143" t="s">
        <v>2557</v>
      </c>
      <c r="C143" t="s">
        <v>2556</v>
      </c>
      <c r="D143" t="s">
        <v>194</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9">
        <v>4.2000000000000003E-2</v>
      </c>
    </row>
    <row r="144" spans="1:31">
      <c r="A144" t="s">
        <v>342</v>
      </c>
      <c r="B144" t="s">
        <v>2555</v>
      </c>
      <c r="C144" t="s">
        <v>2554</v>
      </c>
      <c r="D144" t="s">
        <v>194</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9">
        <v>1.6E-2</v>
      </c>
    </row>
    <row r="145" spans="1:31">
      <c r="A145" t="s">
        <v>209</v>
      </c>
      <c r="B145" t="s">
        <v>2553</v>
      </c>
      <c r="C145" t="s">
        <v>2552</v>
      </c>
      <c r="D145" t="s">
        <v>194</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9">
        <v>1.6E-2</v>
      </c>
    </row>
    <row r="146" spans="1:31">
      <c r="A146" t="s">
        <v>210</v>
      </c>
      <c r="B146" t="s">
        <v>2551</v>
      </c>
      <c r="C146" t="s">
        <v>2550</v>
      </c>
      <c r="D146" t="s">
        <v>194</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9">
        <v>1.7999999999999999E-2</v>
      </c>
    </row>
    <row r="147" spans="1:31">
      <c r="A147" t="s">
        <v>211</v>
      </c>
      <c r="B147" t="s">
        <v>2549</v>
      </c>
      <c r="C147" t="s">
        <v>2548</v>
      </c>
      <c r="D147" t="s">
        <v>194</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9">
        <v>1.4999999999999999E-2</v>
      </c>
    </row>
    <row r="148" spans="1:31">
      <c r="A148" t="s">
        <v>683</v>
      </c>
      <c r="B148" t="s">
        <v>2547</v>
      </c>
      <c r="C148" t="s">
        <v>2546</v>
      </c>
      <c r="D148" t="s">
        <v>194</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9">
        <v>2.7E-2</v>
      </c>
    </row>
    <row r="149" spans="1:31">
      <c r="A149" t="s">
        <v>209</v>
      </c>
      <c r="B149" t="s">
        <v>2545</v>
      </c>
      <c r="C149" t="s">
        <v>2544</v>
      </c>
      <c r="D149" t="s">
        <v>194</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9">
        <v>2.5999999999999999E-2</v>
      </c>
    </row>
    <row r="150" spans="1:31">
      <c r="A150" t="s">
        <v>210</v>
      </c>
      <c r="B150" t="s">
        <v>2543</v>
      </c>
      <c r="C150" t="s">
        <v>2542</v>
      </c>
      <c r="D150" t="s">
        <v>194</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9">
        <v>2.9000000000000001E-2</v>
      </c>
    </row>
    <row r="151" spans="1:31">
      <c r="A151" t="s">
        <v>211</v>
      </c>
      <c r="B151" t="s">
        <v>2541</v>
      </c>
      <c r="C151" t="s">
        <v>2540</v>
      </c>
      <c r="D151" t="s">
        <v>194</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9">
        <v>2.4E-2</v>
      </c>
    </row>
    <row r="152" spans="1:31">
      <c r="A152" t="s">
        <v>345</v>
      </c>
      <c r="B152" t="s">
        <v>2539</v>
      </c>
      <c r="C152" t="s">
        <v>2538</v>
      </c>
      <c r="D152" t="s">
        <v>194</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9">
        <v>2.9000000000000001E-2</v>
      </c>
    </row>
    <row r="153" spans="1:31">
      <c r="A153" t="s">
        <v>346</v>
      </c>
      <c r="B153" t="s">
        <v>2537</v>
      </c>
      <c r="C153" t="s">
        <v>2536</v>
      </c>
      <c r="D153" t="s">
        <v>194</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9">
        <v>2.9000000000000001E-2</v>
      </c>
    </row>
    <row r="154" spans="1:31">
      <c r="A154" t="s">
        <v>347</v>
      </c>
      <c r="B154" t="s">
        <v>2535</v>
      </c>
      <c r="C154" t="s">
        <v>2534</v>
      </c>
      <c r="D154" t="s">
        <v>194</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9">
        <v>2.9000000000000001E-2</v>
      </c>
    </row>
    <row r="155" spans="1:31">
      <c r="A155" t="s">
        <v>111</v>
      </c>
      <c r="B155" t="s">
        <v>2533</v>
      </c>
      <c r="C155" t="s">
        <v>2532</v>
      </c>
      <c r="D155" t="s">
        <v>194</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9">
        <v>2.9000000000000001E-2</v>
      </c>
    </row>
    <row r="156" spans="1:31">
      <c r="A156" t="s">
        <v>292</v>
      </c>
    </row>
    <row r="157" spans="1:31">
      <c r="A157" t="s">
        <v>203</v>
      </c>
      <c r="B157" t="s">
        <v>2531</v>
      </c>
      <c r="C157" t="s">
        <v>2530</v>
      </c>
      <c r="D157" t="s">
        <v>192</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9">
        <v>1.0999999999999999E-2</v>
      </c>
    </row>
    <row r="158" spans="1:31">
      <c r="A158" t="s">
        <v>209</v>
      </c>
      <c r="B158" t="s">
        <v>2529</v>
      </c>
      <c r="C158" t="s">
        <v>2528</v>
      </c>
      <c r="D158" t="s">
        <v>192</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9">
        <v>1.2E-2</v>
      </c>
    </row>
    <row r="159" spans="1:31">
      <c r="A159" t="s">
        <v>210</v>
      </c>
      <c r="B159" t="s">
        <v>2527</v>
      </c>
      <c r="C159" t="s">
        <v>2526</v>
      </c>
      <c r="D159" t="s">
        <v>192</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9">
        <v>2E-3</v>
      </c>
    </row>
    <row r="160" spans="1:31">
      <c r="A160" t="s">
        <v>211</v>
      </c>
      <c r="B160" t="s">
        <v>2525</v>
      </c>
      <c r="C160" t="s">
        <v>2524</v>
      </c>
      <c r="D160" t="s">
        <v>192</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9">
        <v>1.6E-2</v>
      </c>
    </row>
    <row r="161" spans="1:31">
      <c r="A161" t="s">
        <v>204</v>
      </c>
      <c r="B161" t="s">
        <v>2523</v>
      </c>
      <c r="C161" t="s">
        <v>2522</v>
      </c>
      <c r="D161" t="s">
        <v>192</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9">
        <v>0</v>
      </c>
    </row>
    <row r="162" spans="1:31">
      <c r="A162" t="s">
        <v>209</v>
      </c>
      <c r="B162" t="s">
        <v>2521</v>
      </c>
      <c r="C162" t="s">
        <v>2520</v>
      </c>
      <c r="D162" t="s">
        <v>192</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9">
        <v>2.1000000000000001E-2</v>
      </c>
    </row>
    <row r="163" spans="1:31">
      <c r="A163" t="s">
        <v>210</v>
      </c>
      <c r="B163" t="s">
        <v>2519</v>
      </c>
      <c r="C163" t="s">
        <v>2518</v>
      </c>
      <c r="D163" t="s">
        <v>192</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9">
        <v>2.5999999999999999E-2</v>
      </c>
    </row>
    <row r="164" spans="1:31">
      <c r="A164" t="s">
        <v>211</v>
      </c>
      <c r="B164" t="s">
        <v>2517</v>
      </c>
      <c r="C164" t="s">
        <v>2516</v>
      </c>
      <c r="D164" t="s">
        <v>192</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9">
        <v>-1.9E-2</v>
      </c>
    </row>
    <row r="165" spans="1:31">
      <c r="A165" t="s">
        <v>713</v>
      </c>
      <c r="B165" t="s">
        <v>2515</v>
      </c>
      <c r="C165" t="s">
        <v>2514</v>
      </c>
      <c r="D165" t="s">
        <v>192</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9">
        <v>3.5000000000000003E-2</v>
      </c>
    </row>
    <row r="166" spans="1:31">
      <c r="A166" t="s">
        <v>209</v>
      </c>
      <c r="B166" t="s">
        <v>2513</v>
      </c>
      <c r="C166" t="s">
        <v>2512</v>
      </c>
      <c r="D166" t="s">
        <v>192</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9">
        <v>3.9E-2</v>
      </c>
    </row>
    <row r="167" spans="1:31">
      <c r="A167" t="s">
        <v>210</v>
      </c>
      <c r="B167" t="s">
        <v>2511</v>
      </c>
      <c r="C167" t="s">
        <v>2510</v>
      </c>
      <c r="D167" t="s">
        <v>192</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9">
        <v>0.02</v>
      </c>
    </row>
    <row r="168" spans="1:31">
      <c r="A168" t="s">
        <v>211</v>
      </c>
      <c r="B168" t="s">
        <v>2509</v>
      </c>
      <c r="C168" t="s">
        <v>2508</v>
      </c>
      <c r="D168" t="s">
        <v>192</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9">
        <v>2.9000000000000001E-2</v>
      </c>
    </row>
    <row r="169" spans="1:31">
      <c r="A169" t="s">
        <v>710</v>
      </c>
      <c r="B169" t="s">
        <v>2507</v>
      </c>
      <c r="C169" t="s">
        <v>2506</v>
      </c>
      <c r="D169" t="s">
        <v>192</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9">
        <v>2.5000000000000001E-2</v>
      </c>
    </row>
    <row r="170" spans="1:31">
      <c r="A170" t="s">
        <v>209</v>
      </c>
      <c r="B170" t="s">
        <v>2505</v>
      </c>
      <c r="C170" t="s">
        <v>2504</v>
      </c>
      <c r="D170" t="s">
        <v>192</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9">
        <v>2.4E-2</v>
      </c>
    </row>
    <row r="171" spans="1:31">
      <c r="A171" t="s">
        <v>210</v>
      </c>
      <c r="B171" t="s">
        <v>2503</v>
      </c>
      <c r="C171" t="s">
        <v>2502</v>
      </c>
      <c r="D171" t="s">
        <v>192</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9">
        <v>0.03</v>
      </c>
    </row>
    <row r="172" spans="1:31">
      <c r="A172" t="s">
        <v>211</v>
      </c>
      <c r="B172" t="s">
        <v>2501</v>
      </c>
      <c r="C172" t="s">
        <v>2500</v>
      </c>
      <c r="D172" t="s">
        <v>192</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9">
        <v>2.4E-2</v>
      </c>
    </row>
    <row r="173" spans="1:31">
      <c r="A173" t="s">
        <v>336</v>
      </c>
      <c r="B173" t="s">
        <v>2499</v>
      </c>
      <c r="C173" t="s">
        <v>2498</v>
      </c>
      <c r="D173" t="s">
        <v>192</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9">
        <v>4.4999999999999998E-2</v>
      </c>
    </row>
    <row r="174" spans="1:31">
      <c r="A174" t="s">
        <v>209</v>
      </c>
      <c r="B174" t="s">
        <v>2497</v>
      </c>
      <c r="C174" t="s">
        <v>2496</v>
      </c>
      <c r="D174" t="s">
        <v>192</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9">
        <v>2.8000000000000001E-2</v>
      </c>
    </row>
    <row r="175" spans="1:31">
      <c r="A175" t="s">
        <v>210</v>
      </c>
      <c r="B175" t="s">
        <v>2495</v>
      </c>
      <c r="C175" t="s">
        <v>2494</v>
      </c>
      <c r="D175" t="s">
        <v>192</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9">
        <v>0.10199999999999999</v>
      </c>
    </row>
    <row r="176" spans="1:31">
      <c r="A176" t="s">
        <v>211</v>
      </c>
      <c r="B176" t="s">
        <v>2493</v>
      </c>
      <c r="C176" t="s">
        <v>2492</v>
      </c>
      <c r="D176" t="s">
        <v>192</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9">
        <v>1.7999999999999999E-2</v>
      </c>
    </row>
    <row r="177" spans="1:31">
      <c r="A177" t="s">
        <v>337</v>
      </c>
      <c r="B177" t="s">
        <v>2491</v>
      </c>
      <c r="C177" t="s">
        <v>2490</v>
      </c>
      <c r="D177" t="s">
        <v>192</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9">
        <v>2.5999999999999999E-2</v>
      </c>
    </row>
    <row r="178" spans="1:31">
      <c r="A178" t="s">
        <v>209</v>
      </c>
      <c r="B178" t="s">
        <v>2489</v>
      </c>
      <c r="C178" t="s">
        <v>2488</v>
      </c>
      <c r="D178" t="s">
        <v>192</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9">
        <v>2.7E-2</v>
      </c>
    </row>
    <row r="179" spans="1:31">
      <c r="A179" t="s">
        <v>210</v>
      </c>
      <c r="B179" t="s">
        <v>2487</v>
      </c>
      <c r="C179" t="s">
        <v>2486</v>
      </c>
      <c r="D179" t="s">
        <v>192</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9">
        <v>0.113</v>
      </c>
    </row>
    <row r="180" spans="1:31">
      <c r="A180" t="s">
        <v>211</v>
      </c>
      <c r="B180" t="s">
        <v>2485</v>
      </c>
      <c r="C180" t="s">
        <v>2484</v>
      </c>
      <c r="D180" t="s">
        <v>192</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9">
        <v>8.9999999999999993E-3</v>
      </c>
    </row>
    <row r="181" spans="1:31">
      <c r="A181" t="s">
        <v>338</v>
      </c>
      <c r="B181" t="s">
        <v>2483</v>
      </c>
      <c r="C181" t="s">
        <v>2482</v>
      </c>
      <c r="D181" t="s">
        <v>192</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9">
        <v>6.4000000000000001E-2</v>
      </c>
    </row>
    <row r="182" spans="1:31">
      <c r="A182" t="s">
        <v>209</v>
      </c>
      <c r="B182" t="s">
        <v>2481</v>
      </c>
      <c r="C182" t="s">
        <v>2480</v>
      </c>
      <c r="D182" t="s">
        <v>192</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9">
        <v>4.2999999999999997E-2</v>
      </c>
    </row>
    <row r="183" spans="1:31">
      <c r="A183" t="s">
        <v>210</v>
      </c>
      <c r="B183" t="s">
        <v>2479</v>
      </c>
      <c r="C183" t="s">
        <v>2478</v>
      </c>
      <c r="D183" t="s">
        <v>192</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9">
        <v>9.5000000000000001E-2</v>
      </c>
    </row>
    <row r="184" spans="1:31">
      <c r="A184" t="s">
        <v>211</v>
      </c>
      <c r="B184" t="s">
        <v>2477</v>
      </c>
      <c r="C184" t="s">
        <v>2476</v>
      </c>
      <c r="D184" t="s">
        <v>192</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9">
        <v>3.5999999999999997E-2</v>
      </c>
    </row>
    <row r="185" spans="1:31">
      <c r="A185" t="s">
        <v>339</v>
      </c>
      <c r="B185" t="s">
        <v>2475</v>
      </c>
      <c r="C185" t="s">
        <v>2474</v>
      </c>
      <c r="D185" t="s">
        <v>192</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9">
        <v>-1.4E-2</v>
      </c>
    </row>
    <row r="186" spans="1:31">
      <c r="A186" t="s">
        <v>209</v>
      </c>
      <c r="B186" t="s">
        <v>2473</v>
      </c>
      <c r="C186" t="s">
        <v>2472</v>
      </c>
      <c r="D186" t="s">
        <v>192</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9">
        <v>-1.2E-2</v>
      </c>
    </row>
    <row r="187" spans="1:31">
      <c r="A187" t="s">
        <v>210</v>
      </c>
      <c r="B187" t="s">
        <v>2471</v>
      </c>
      <c r="C187" t="s">
        <v>2470</v>
      </c>
      <c r="D187" t="s">
        <v>192</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9">
        <v>-3.2000000000000001E-2</v>
      </c>
    </row>
    <row r="188" spans="1:31">
      <c r="A188" t="s">
        <v>211</v>
      </c>
      <c r="B188" t="s">
        <v>2469</v>
      </c>
      <c r="C188" t="s">
        <v>2468</v>
      </c>
      <c r="D188" t="s">
        <v>192</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9">
        <v>2E-3</v>
      </c>
    </row>
    <row r="189" spans="1:31">
      <c r="A189" t="s">
        <v>699</v>
      </c>
      <c r="B189" t="s">
        <v>2467</v>
      </c>
      <c r="C189" t="s">
        <v>2466</v>
      </c>
      <c r="D189" t="s">
        <v>192</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9">
        <v>0.03</v>
      </c>
    </row>
    <row r="190" spans="1:31">
      <c r="A190" t="s">
        <v>209</v>
      </c>
      <c r="B190" t="s">
        <v>2465</v>
      </c>
      <c r="C190" t="s">
        <v>2464</v>
      </c>
      <c r="D190" t="s">
        <v>192</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9">
        <v>2.9000000000000001E-2</v>
      </c>
    </row>
    <row r="191" spans="1:31">
      <c r="A191" t="s">
        <v>210</v>
      </c>
      <c r="B191" t="s">
        <v>2463</v>
      </c>
      <c r="C191" t="s">
        <v>2462</v>
      </c>
      <c r="D191" t="s">
        <v>192</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9">
        <v>3.5999999999999997E-2</v>
      </c>
    </row>
    <row r="192" spans="1:31">
      <c r="A192" t="s">
        <v>211</v>
      </c>
      <c r="B192" t="s">
        <v>2461</v>
      </c>
      <c r="C192" t="s">
        <v>2460</v>
      </c>
      <c r="D192" t="s">
        <v>192</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9">
        <v>3.3000000000000002E-2</v>
      </c>
    </row>
    <row r="193" spans="1:31">
      <c r="A193" t="s">
        <v>206</v>
      </c>
      <c r="B193" t="s">
        <v>2459</v>
      </c>
      <c r="C193" t="s">
        <v>2458</v>
      </c>
      <c r="D193" t="s">
        <v>192</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9">
        <v>3.7999999999999999E-2</v>
      </c>
    </row>
    <row r="194" spans="1:31">
      <c r="A194" t="s">
        <v>209</v>
      </c>
      <c r="B194" t="s">
        <v>2457</v>
      </c>
      <c r="C194" t="s">
        <v>2456</v>
      </c>
      <c r="D194" t="s">
        <v>192</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9">
        <v>3.2000000000000001E-2</v>
      </c>
    </row>
    <row r="195" spans="1:31">
      <c r="A195" t="s">
        <v>210</v>
      </c>
      <c r="B195" t="s">
        <v>2455</v>
      </c>
      <c r="C195" t="s">
        <v>2454</v>
      </c>
      <c r="D195" t="s">
        <v>192</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9">
        <v>9.5000000000000001E-2</v>
      </c>
    </row>
    <row r="196" spans="1:31">
      <c r="A196" t="s">
        <v>211</v>
      </c>
      <c r="B196" t="s">
        <v>2453</v>
      </c>
      <c r="C196" t="s">
        <v>2452</v>
      </c>
      <c r="D196" t="s">
        <v>192</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9">
        <v>0.03</v>
      </c>
    </row>
    <row r="197" spans="1:31">
      <c r="A197" t="s">
        <v>340</v>
      </c>
      <c r="B197" t="s">
        <v>2451</v>
      </c>
      <c r="C197" t="s">
        <v>2450</v>
      </c>
      <c r="D197" t="s">
        <v>192</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9">
        <v>3.9E-2</v>
      </c>
    </row>
    <row r="198" spans="1:31">
      <c r="A198" t="s">
        <v>209</v>
      </c>
      <c r="B198" t="s">
        <v>2449</v>
      </c>
      <c r="C198" t="s">
        <v>2448</v>
      </c>
      <c r="D198" t="s">
        <v>192</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9">
        <v>3.9E-2</v>
      </c>
    </row>
    <row r="199" spans="1:31">
      <c r="A199" t="s">
        <v>210</v>
      </c>
      <c r="B199" t="s">
        <v>2447</v>
      </c>
      <c r="C199" t="s">
        <v>2446</v>
      </c>
      <c r="D199" t="s">
        <v>192</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9">
        <v>3.5000000000000003E-2</v>
      </c>
    </row>
    <row r="200" spans="1:31">
      <c r="A200" t="s">
        <v>211</v>
      </c>
      <c r="B200" t="s">
        <v>2445</v>
      </c>
      <c r="C200" t="s">
        <v>2444</v>
      </c>
      <c r="D200" t="s">
        <v>192</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9">
        <v>3.7999999999999999E-2</v>
      </c>
    </row>
    <row r="201" spans="1:31">
      <c r="A201" t="s">
        <v>692</v>
      </c>
      <c r="B201" t="s">
        <v>2443</v>
      </c>
      <c r="C201" t="s">
        <v>2442</v>
      </c>
      <c r="D201" t="s">
        <v>192</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9">
        <v>3.9E-2</v>
      </c>
    </row>
    <row r="202" spans="1:31">
      <c r="A202" t="s">
        <v>209</v>
      </c>
      <c r="B202" t="s">
        <v>2441</v>
      </c>
      <c r="C202" t="s">
        <v>2440</v>
      </c>
      <c r="D202" t="s">
        <v>192</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9">
        <v>4.5999999999999999E-2</v>
      </c>
    </row>
    <row r="203" spans="1:31">
      <c r="A203" t="s">
        <v>210</v>
      </c>
      <c r="B203" t="s">
        <v>2439</v>
      </c>
      <c r="C203" t="s">
        <v>2438</v>
      </c>
      <c r="D203" t="s">
        <v>192</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9">
        <v>0.02</v>
      </c>
    </row>
    <row r="204" spans="1:31">
      <c r="A204" t="s">
        <v>211</v>
      </c>
      <c r="B204" t="s">
        <v>2437</v>
      </c>
      <c r="C204" t="s">
        <v>2436</v>
      </c>
      <c r="D204" t="s">
        <v>192</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9">
        <v>5.1999999999999998E-2</v>
      </c>
    </row>
    <row r="205" spans="1:31">
      <c r="A205" t="s">
        <v>341</v>
      </c>
      <c r="B205" t="s">
        <v>2435</v>
      </c>
      <c r="C205" t="s">
        <v>2434</v>
      </c>
      <c r="D205" t="s">
        <v>192</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9">
        <v>3.2000000000000001E-2</v>
      </c>
    </row>
    <row r="206" spans="1:31">
      <c r="A206" t="s">
        <v>209</v>
      </c>
      <c r="B206" t="s">
        <v>2433</v>
      </c>
      <c r="C206" t="s">
        <v>2432</v>
      </c>
      <c r="D206" t="s">
        <v>192</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9">
        <v>0.03</v>
      </c>
    </row>
    <row r="207" spans="1:31">
      <c r="A207" t="s">
        <v>210</v>
      </c>
      <c r="B207" t="s">
        <v>2431</v>
      </c>
      <c r="C207" t="s">
        <v>2430</v>
      </c>
      <c r="D207" t="s">
        <v>192</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9">
        <v>3.5999999999999997E-2</v>
      </c>
    </row>
    <row r="208" spans="1:31">
      <c r="A208" t="s">
        <v>211</v>
      </c>
      <c r="B208" t="s">
        <v>2429</v>
      </c>
      <c r="C208" t="s">
        <v>2428</v>
      </c>
      <c r="D208" t="s">
        <v>192</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9">
        <v>1.0999999999999999E-2</v>
      </c>
    </row>
    <row r="209" spans="1:31">
      <c r="A209" t="s">
        <v>205</v>
      </c>
      <c r="B209" t="s">
        <v>2427</v>
      </c>
      <c r="C209" t="s">
        <v>2426</v>
      </c>
      <c r="D209" t="s">
        <v>192</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9">
        <v>3.5000000000000003E-2</v>
      </c>
    </row>
    <row r="210" spans="1:31">
      <c r="A210" t="s">
        <v>209</v>
      </c>
      <c r="B210" t="s">
        <v>2425</v>
      </c>
      <c r="C210" t="s">
        <v>2424</v>
      </c>
      <c r="D210" t="s">
        <v>192</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9">
        <v>3.5000000000000003E-2</v>
      </c>
    </row>
    <row r="211" spans="1:31">
      <c r="A211" t="s">
        <v>210</v>
      </c>
      <c r="B211" t="s">
        <v>2423</v>
      </c>
      <c r="C211" t="s">
        <v>2422</v>
      </c>
      <c r="D211" t="s">
        <v>192</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9">
        <v>4.2999999999999997E-2</v>
      </c>
    </row>
    <row r="212" spans="1:31">
      <c r="A212" t="s">
        <v>211</v>
      </c>
      <c r="B212" t="s">
        <v>2421</v>
      </c>
      <c r="C212" t="s">
        <v>2420</v>
      </c>
      <c r="D212" t="s">
        <v>192</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9">
        <v>3.2000000000000001E-2</v>
      </c>
    </row>
    <row r="213" spans="1:31">
      <c r="A213" t="s">
        <v>342</v>
      </c>
      <c r="B213" t="s">
        <v>2419</v>
      </c>
      <c r="C213" t="s">
        <v>2418</v>
      </c>
      <c r="D213" t="s">
        <v>192</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9">
        <v>1.6E-2</v>
      </c>
    </row>
    <row r="214" spans="1:31">
      <c r="A214" t="s">
        <v>209</v>
      </c>
      <c r="B214" t="s">
        <v>2417</v>
      </c>
      <c r="C214" t="s">
        <v>2416</v>
      </c>
      <c r="D214" t="s">
        <v>192</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9">
        <v>1.9E-2</v>
      </c>
    </row>
    <row r="215" spans="1:31">
      <c r="A215" t="s">
        <v>210</v>
      </c>
      <c r="B215" t="s">
        <v>2415</v>
      </c>
      <c r="C215" t="s">
        <v>2414</v>
      </c>
      <c r="D215" t="s">
        <v>192</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9">
        <v>2.4E-2</v>
      </c>
    </row>
    <row r="216" spans="1:31">
      <c r="A216" t="s">
        <v>211</v>
      </c>
      <c r="B216" t="s">
        <v>2413</v>
      </c>
      <c r="C216" t="s">
        <v>2412</v>
      </c>
      <c r="D216" t="s">
        <v>192</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9">
        <v>1.0999999999999999E-2</v>
      </c>
    </row>
    <row r="217" spans="1:31">
      <c r="A217" t="s">
        <v>683</v>
      </c>
      <c r="B217" t="s">
        <v>2411</v>
      </c>
      <c r="C217" t="s">
        <v>2410</v>
      </c>
      <c r="D217" t="s">
        <v>192</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9">
        <v>2.3E-2</v>
      </c>
    </row>
    <row r="218" spans="1:31">
      <c r="A218" t="s">
        <v>209</v>
      </c>
      <c r="B218" t="s">
        <v>2409</v>
      </c>
      <c r="C218" t="s">
        <v>2408</v>
      </c>
      <c r="D218" t="s">
        <v>192</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9">
        <v>2.4E-2</v>
      </c>
    </row>
    <row r="219" spans="1:31">
      <c r="A219" t="s">
        <v>210</v>
      </c>
      <c r="B219" t="s">
        <v>2407</v>
      </c>
      <c r="C219" t="s">
        <v>2406</v>
      </c>
      <c r="D219" t="s">
        <v>192</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9">
        <v>3.2000000000000001E-2</v>
      </c>
    </row>
    <row r="220" spans="1:31">
      <c r="A220" t="s">
        <v>211</v>
      </c>
      <c r="B220" t="s">
        <v>2405</v>
      </c>
      <c r="C220" t="s">
        <v>2404</v>
      </c>
      <c r="D220" t="s">
        <v>192</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9">
        <v>1.4E-2</v>
      </c>
    </row>
    <row r="221" spans="1:31">
      <c r="A221" t="s">
        <v>345</v>
      </c>
      <c r="B221" t="s">
        <v>2403</v>
      </c>
      <c r="C221" t="s">
        <v>2402</v>
      </c>
      <c r="D221" t="s">
        <v>192</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9">
        <v>2.7E-2</v>
      </c>
    </row>
    <row r="222" spans="1:31">
      <c r="A222" t="s">
        <v>346</v>
      </c>
      <c r="B222" t="s">
        <v>2401</v>
      </c>
      <c r="C222" t="s">
        <v>2400</v>
      </c>
      <c r="D222" t="s">
        <v>192</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9">
        <v>3.2000000000000001E-2</v>
      </c>
    </row>
    <row r="223" spans="1:31">
      <c r="A223" t="s">
        <v>347</v>
      </c>
      <c r="B223" t="s">
        <v>2399</v>
      </c>
      <c r="C223" t="s">
        <v>2398</v>
      </c>
      <c r="D223" t="s">
        <v>192</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9">
        <v>2.1000000000000001E-2</v>
      </c>
    </row>
    <row r="224" spans="1:31">
      <c r="A224" t="s">
        <v>111</v>
      </c>
      <c r="B224" t="s">
        <v>2397</v>
      </c>
      <c r="C224" t="s">
        <v>2396</v>
      </c>
      <c r="D224" t="s">
        <v>192</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9">
        <v>2.5999999999999999E-2</v>
      </c>
    </row>
    <row r="225" spans="1:31">
      <c r="A225" t="s">
        <v>212</v>
      </c>
    </row>
    <row r="226" spans="1:31">
      <c r="A226" t="s">
        <v>213</v>
      </c>
    </row>
    <row r="227" spans="1:31">
      <c r="A227" t="s">
        <v>209</v>
      </c>
      <c r="B227" t="s">
        <v>2395</v>
      </c>
      <c r="C227" t="s">
        <v>2394</v>
      </c>
      <c r="D227" t="s">
        <v>223</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9">
        <v>8.0000000000000002E-3</v>
      </c>
    </row>
    <row r="228" spans="1:31">
      <c r="A228" t="s">
        <v>210</v>
      </c>
      <c r="B228" t="s">
        <v>2393</v>
      </c>
      <c r="C228" t="s">
        <v>2392</v>
      </c>
      <c r="D228" t="s">
        <v>223</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9">
        <v>8.0000000000000002E-3</v>
      </c>
    </row>
    <row r="229" spans="1:31">
      <c r="A229" t="s">
        <v>211</v>
      </c>
      <c r="B229" t="s">
        <v>2391</v>
      </c>
      <c r="C229" t="s">
        <v>2390</v>
      </c>
      <c r="D229" t="s">
        <v>223</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9">
        <v>8.9999999999999993E-3</v>
      </c>
    </row>
    <row r="230" spans="1:31">
      <c r="A230" t="s">
        <v>214</v>
      </c>
      <c r="B230" t="s">
        <v>2389</v>
      </c>
      <c r="C230" t="s">
        <v>2388</v>
      </c>
      <c r="D230" t="s">
        <v>223</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9">
        <v>8.0000000000000002E-3</v>
      </c>
    </row>
    <row r="231" spans="1:31">
      <c r="A231" t="s">
        <v>215</v>
      </c>
    </row>
    <row r="232" spans="1:31">
      <c r="A232" t="s">
        <v>209</v>
      </c>
      <c r="B232" t="s">
        <v>2387</v>
      </c>
      <c r="C232" t="s">
        <v>2386</v>
      </c>
      <c r="D232" t="s">
        <v>223</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9">
        <v>8.0000000000000002E-3</v>
      </c>
    </row>
    <row r="233" spans="1:31">
      <c r="A233" t="s">
        <v>210</v>
      </c>
      <c r="B233" t="s">
        <v>2385</v>
      </c>
      <c r="C233" t="s">
        <v>2384</v>
      </c>
      <c r="D233" t="s">
        <v>223</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9">
        <v>8.0000000000000002E-3</v>
      </c>
    </row>
    <row r="234" spans="1:31">
      <c r="A234" t="s">
        <v>211</v>
      </c>
      <c r="B234" t="s">
        <v>2383</v>
      </c>
      <c r="C234" t="s">
        <v>2382</v>
      </c>
      <c r="D234" t="s">
        <v>223</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9">
        <v>7.0000000000000001E-3</v>
      </c>
    </row>
    <row r="235" spans="1:31">
      <c r="A235" t="s">
        <v>214</v>
      </c>
      <c r="B235" t="s">
        <v>2381</v>
      </c>
      <c r="C235" t="s">
        <v>2380</v>
      </c>
      <c r="D235" t="s">
        <v>223</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9">
        <v>8.0000000000000002E-3</v>
      </c>
    </row>
    <row r="236" spans="1:31">
      <c r="A236" t="s">
        <v>109</v>
      </c>
    </row>
    <row r="237" spans="1:31">
      <c r="A237" t="s">
        <v>216</v>
      </c>
    </row>
    <row r="238" spans="1:31">
      <c r="A238" t="s">
        <v>203</v>
      </c>
      <c r="B238" t="s">
        <v>2379</v>
      </c>
      <c r="C238" t="s">
        <v>2378</v>
      </c>
      <c r="D238" t="s">
        <v>193</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9">
        <v>8.9999999999999993E-3</v>
      </c>
    </row>
    <row r="239" spans="1:31">
      <c r="A239" t="s">
        <v>204</v>
      </c>
      <c r="B239" t="s">
        <v>2377</v>
      </c>
      <c r="C239" t="s">
        <v>2376</v>
      </c>
      <c r="D239" t="s">
        <v>193</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9">
        <v>1.0999999999999999E-2</v>
      </c>
    </row>
    <row r="240" spans="1:31">
      <c r="A240" t="s">
        <v>713</v>
      </c>
      <c r="B240" t="s">
        <v>2375</v>
      </c>
      <c r="C240" t="s">
        <v>2374</v>
      </c>
      <c r="D240" t="s">
        <v>193</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9">
        <v>2.4E-2</v>
      </c>
    </row>
    <row r="241" spans="1:32">
      <c r="A241" t="s">
        <v>710</v>
      </c>
      <c r="B241" t="s">
        <v>2373</v>
      </c>
      <c r="C241" t="s">
        <v>2372</v>
      </c>
      <c r="D241" t="s">
        <v>193</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9">
        <v>1.2E-2</v>
      </c>
    </row>
    <row r="242" spans="1:32">
      <c r="A242" t="s">
        <v>336</v>
      </c>
      <c r="B242" t="s">
        <v>2371</v>
      </c>
      <c r="C242" t="s">
        <v>2370</v>
      </c>
      <c r="D242" t="s">
        <v>193</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9">
        <v>-6.0000000000000001E-3</v>
      </c>
    </row>
    <row r="243" spans="1:32">
      <c r="A243" t="s">
        <v>337</v>
      </c>
      <c r="B243" t="s">
        <v>2369</v>
      </c>
      <c r="C243" t="s">
        <v>2368</v>
      </c>
      <c r="D243" t="s">
        <v>193</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9">
        <v>1.6E-2</v>
      </c>
    </row>
    <row r="244" spans="1:32">
      <c r="A244" t="s">
        <v>338</v>
      </c>
      <c r="B244" t="s">
        <v>2367</v>
      </c>
      <c r="C244" t="s">
        <v>2366</v>
      </c>
      <c r="D244" t="s">
        <v>193</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9">
        <v>1.4E-2</v>
      </c>
    </row>
    <row r="245" spans="1:32">
      <c r="A245" t="s">
        <v>339</v>
      </c>
      <c r="B245" t="s">
        <v>2365</v>
      </c>
      <c r="C245" t="s">
        <v>2364</v>
      </c>
      <c r="D245" t="s">
        <v>193</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9">
        <v>1.4E-2</v>
      </c>
    </row>
    <row r="246" spans="1:32">
      <c r="A246" t="s">
        <v>699</v>
      </c>
      <c r="B246" t="s">
        <v>2363</v>
      </c>
      <c r="C246" t="s">
        <v>2362</v>
      </c>
      <c r="D246" t="s">
        <v>193</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9">
        <v>2.1000000000000001E-2</v>
      </c>
    </row>
    <row r="247" spans="1:32">
      <c r="A247" t="s">
        <v>206</v>
      </c>
      <c r="B247" t="s">
        <v>2361</v>
      </c>
      <c r="C247" t="s">
        <v>2360</v>
      </c>
      <c r="D247" t="s">
        <v>193</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9">
        <v>3.1E-2</v>
      </c>
    </row>
    <row r="248" spans="1:32">
      <c r="A248" t="s">
        <v>340</v>
      </c>
      <c r="B248" t="s">
        <v>2359</v>
      </c>
      <c r="C248" t="s">
        <v>2358</v>
      </c>
      <c r="D248" t="s">
        <v>193</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9">
        <v>4.5999999999999999E-2</v>
      </c>
    </row>
    <row r="249" spans="1:32">
      <c r="A249" t="s">
        <v>692</v>
      </c>
      <c r="B249" t="s">
        <v>2357</v>
      </c>
      <c r="C249" t="s">
        <v>2356</v>
      </c>
      <c r="D249" t="s">
        <v>193</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9">
        <v>2.5000000000000001E-2</v>
      </c>
    </row>
    <row r="250" spans="1:32">
      <c r="A250" t="s">
        <v>341</v>
      </c>
      <c r="B250" t="s">
        <v>2355</v>
      </c>
      <c r="C250" t="s">
        <v>2354</v>
      </c>
      <c r="D250" t="s">
        <v>193</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9">
        <v>2.5000000000000001E-2</v>
      </c>
    </row>
    <row r="251" spans="1:32">
      <c r="A251" t="s">
        <v>205</v>
      </c>
      <c r="B251" t="s">
        <v>2353</v>
      </c>
      <c r="C251" t="s">
        <v>2352</v>
      </c>
      <c r="D251" t="s">
        <v>193</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9">
        <v>0.03</v>
      </c>
    </row>
    <row r="252" spans="1:32">
      <c r="A252" t="s">
        <v>342</v>
      </c>
      <c r="B252" t="s">
        <v>2351</v>
      </c>
      <c r="C252" t="s">
        <v>2350</v>
      </c>
      <c r="D252" t="s">
        <v>193</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9">
        <v>8.0000000000000002E-3</v>
      </c>
    </row>
    <row r="253" spans="1:32">
      <c r="A253" t="s">
        <v>683</v>
      </c>
      <c r="B253" t="s">
        <v>2349</v>
      </c>
      <c r="C253" t="s">
        <v>2348</v>
      </c>
      <c r="D253" t="s">
        <v>193</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9">
        <v>1.9E-2</v>
      </c>
    </row>
    <row r="254" spans="1:32">
      <c r="A254" t="s">
        <v>111</v>
      </c>
      <c r="B254" t="s">
        <v>2347</v>
      </c>
      <c r="C254" t="s">
        <v>2346</v>
      </c>
      <c r="D254" t="s">
        <v>193</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9">
        <v>1.9E-2</v>
      </c>
    </row>
    <row r="255" spans="1:32">
      <c r="A255" t="s">
        <v>217</v>
      </c>
      <c r="B255" t="s">
        <v>676</v>
      </c>
      <c r="C255" t="s">
        <v>2345</v>
      </c>
      <c r="D255" t="s">
        <v>2344</v>
      </c>
      <c r="E255" t="s">
        <v>193</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9">
        <v>0</v>
      </c>
    </row>
    <row r="256" spans="1:32">
      <c r="A256" t="s">
        <v>218</v>
      </c>
      <c r="B256" t="s">
        <v>676</v>
      </c>
      <c r="C256" t="s">
        <v>2343</v>
      </c>
      <c r="D256" t="s">
        <v>2342</v>
      </c>
      <c r="E256" t="s">
        <v>193</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9">
        <v>1E-3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25"/>
  <cols>
    <col min="1" max="1" width="57.398437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25"/>
  <cols>
    <col min="1" max="1" width="30.26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4.4"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4.6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7.2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35.6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47.2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5.6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7.2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35.6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47.2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35.6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47.2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35.6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35.6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24">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35.6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35.6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24">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35.6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35.6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24">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5.6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35.6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24">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5.6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35.6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47.2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35.6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47.2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35.6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47.2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5.6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35.6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24">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24">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35.6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24">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35.6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24">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5.6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4.6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75" t="s">
        <v>556</v>
      </c>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c r="Z452" s="74"/>
      <c r="AA452" s="74"/>
      <c r="AB452" s="74"/>
      <c r="AC452" s="74"/>
      <c r="AD452" s="74"/>
      <c r="AE452" s="74"/>
      <c r="AF452" s="74"/>
      <c r="AG452" s="74"/>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74"/>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74"/>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74"/>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c r="Z886" s="74"/>
      <c r="AA886" s="74"/>
      <c r="AB886" s="74"/>
      <c r="AC886" s="74"/>
      <c r="AD886" s="74"/>
      <c r="AE886" s="74"/>
      <c r="AF886" s="74"/>
      <c r="AG886" s="74"/>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c r="Z969" s="74"/>
      <c r="AA969" s="74"/>
      <c r="AB969" s="74"/>
      <c r="AC969" s="74"/>
      <c r="AD969" s="74"/>
      <c r="AE969" s="74"/>
      <c r="AF969" s="74"/>
      <c r="AG969" s="74"/>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74"/>
      <c r="C1071" s="74"/>
      <c r="D1071" s="74"/>
      <c r="E1071" s="74"/>
      <c r="F1071" s="74"/>
      <c r="G1071" s="74"/>
      <c r="H1071" s="74"/>
      <c r="I1071" s="74"/>
      <c r="J1071" s="74"/>
      <c r="K1071" s="74"/>
      <c r="L1071" s="74"/>
      <c r="M1071" s="74"/>
      <c r="N1071" s="74"/>
      <c r="O1071" s="74"/>
      <c r="P1071" s="74"/>
      <c r="Q1071" s="74"/>
      <c r="R1071" s="74"/>
      <c r="S1071" s="74"/>
      <c r="T1071" s="74"/>
      <c r="U1071" s="74"/>
      <c r="V1071" s="74"/>
      <c r="W1071" s="74"/>
      <c r="X1071" s="74"/>
      <c r="Y1071" s="74"/>
      <c r="Z1071" s="74"/>
      <c r="AA1071" s="74"/>
      <c r="AB1071" s="74"/>
      <c r="AC1071" s="74"/>
      <c r="AD1071" s="74"/>
      <c r="AE1071" s="74"/>
      <c r="AF1071" s="74"/>
      <c r="AG1071" s="74"/>
    </row>
    <row r="1169" spans="2:33">
      <c r="B1169" s="74"/>
      <c r="C1169" s="74"/>
      <c r="D1169" s="74"/>
      <c r="E1169" s="74"/>
      <c r="F1169" s="74"/>
      <c r="G1169" s="74"/>
      <c r="H1169" s="74"/>
      <c r="I1169" s="74"/>
      <c r="J1169" s="74"/>
      <c r="K1169" s="74"/>
      <c r="L1169" s="74"/>
      <c r="M1169" s="74"/>
      <c r="N1169" s="74"/>
      <c r="O1169" s="74"/>
      <c r="P1169" s="74"/>
      <c r="Q1169" s="74"/>
      <c r="R1169" s="74"/>
      <c r="S1169" s="74"/>
      <c r="T1169" s="74"/>
      <c r="U1169" s="74"/>
      <c r="V1169" s="74"/>
      <c r="W1169" s="74"/>
      <c r="X1169" s="74"/>
      <c r="Y1169" s="74"/>
      <c r="Z1169" s="74"/>
      <c r="AA1169" s="74"/>
      <c r="AB1169" s="74"/>
      <c r="AC1169" s="74"/>
      <c r="AD1169" s="74"/>
      <c r="AE1169" s="74"/>
      <c r="AF1169" s="74"/>
      <c r="AG1169" s="74"/>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74"/>
      <c r="C1269" s="74"/>
      <c r="D1269" s="74"/>
      <c r="E1269" s="74"/>
      <c r="F1269" s="74"/>
      <c r="G1269" s="74"/>
      <c r="H1269" s="74"/>
      <c r="I1269" s="74"/>
      <c r="J1269" s="74"/>
      <c r="K1269" s="74"/>
      <c r="L1269" s="74"/>
      <c r="M1269" s="74"/>
      <c r="N1269" s="74"/>
      <c r="O1269" s="74"/>
      <c r="P1269" s="74"/>
      <c r="Q1269" s="74"/>
      <c r="R1269" s="74"/>
      <c r="S1269" s="74"/>
      <c r="T1269" s="74"/>
      <c r="U1269" s="74"/>
      <c r="V1269" s="74"/>
      <c r="W1269" s="74"/>
      <c r="X1269" s="74"/>
      <c r="Y1269" s="74"/>
      <c r="Z1269" s="74"/>
      <c r="AA1269" s="74"/>
      <c r="AB1269" s="74"/>
      <c r="AC1269" s="74"/>
      <c r="AD1269" s="74"/>
      <c r="AE1269" s="74"/>
      <c r="AF1269" s="74"/>
      <c r="AG1269" s="74"/>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74"/>
      <c r="C1484" s="74"/>
      <c r="D1484" s="74"/>
      <c r="E1484" s="74"/>
      <c r="F1484" s="74"/>
      <c r="G1484" s="74"/>
      <c r="H1484" s="74"/>
      <c r="I1484" s="74"/>
      <c r="J1484" s="74"/>
      <c r="K1484" s="74"/>
      <c r="L1484" s="74"/>
      <c r="M1484" s="74"/>
      <c r="N1484" s="74"/>
      <c r="O1484" s="74"/>
      <c r="P1484" s="74"/>
      <c r="Q1484" s="74"/>
      <c r="R1484" s="74"/>
      <c r="S1484" s="74"/>
      <c r="T1484" s="74"/>
      <c r="U1484" s="74"/>
      <c r="V1484" s="74"/>
      <c r="W1484" s="74"/>
      <c r="X1484" s="74"/>
      <c r="Y1484" s="74"/>
      <c r="Z1484" s="74"/>
      <c r="AA1484" s="74"/>
      <c r="AB1484" s="74"/>
      <c r="AC1484" s="74"/>
      <c r="AD1484" s="74"/>
      <c r="AE1484" s="74"/>
      <c r="AF1484" s="74"/>
      <c r="AG1484" s="74"/>
    </row>
    <row r="1713" spans="2:33">
      <c r="B1713" s="74"/>
      <c r="C1713" s="74"/>
      <c r="D1713" s="74"/>
      <c r="E1713" s="74"/>
      <c r="F1713" s="74"/>
      <c r="G1713" s="74"/>
      <c r="H1713" s="74"/>
      <c r="I1713" s="74"/>
      <c r="J1713" s="74"/>
      <c r="K1713" s="74"/>
      <c r="L1713" s="74"/>
      <c r="M1713" s="74"/>
      <c r="N1713" s="74"/>
      <c r="O1713" s="74"/>
      <c r="P1713" s="74"/>
      <c r="Q1713" s="74"/>
      <c r="R1713" s="74"/>
      <c r="S1713" s="74"/>
      <c r="T1713" s="74"/>
      <c r="U1713" s="74"/>
      <c r="V1713" s="74"/>
      <c r="W1713" s="74"/>
      <c r="X1713" s="74"/>
      <c r="Y1713" s="74"/>
      <c r="Z1713" s="74"/>
      <c r="AA1713" s="74"/>
      <c r="AB1713" s="74"/>
      <c r="AC1713" s="74"/>
      <c r="AD1713" s="74"/>
      <c r="AE1713" s="74"/>
      <c r="AF1713" s="74"/>
      <c r="AG1713" s="74"/>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74"/>
      <c r="C1990" s="74"/>
      <c r="D1990" s="74"/>
      <c r="E1990" s="74"/>
      <c r="F1990" s="74"/>
      <c r="G1990" s="74"/>
      <c r="H1990" s="74"/>
      <c r="I1990" s="74"/>
      <c r="J1990" s="74"/>
      <c r="K1990" s="74"/>
      <c r="L1990" s="74"/>
      <c r="M1990" s="74"/>
      <c r="N1990" s="74"/>
      <c r="O1990" s="74"/>
      <c r="P1990" s="74"/>
      <c r="Q1990" s="74"/>
      <c r="R1990" s="74"/>
      <c r="S1990" s="74"/>
      <c r="T1990" s="74"/>
      <c r="U1990" s="74"/>
      <c r="V1990" s="74"/>
      <c r="W1990" s="74"/>
      <c r="X1990" s="74"/>
      <c r="Y1990" s="74"/>
      <c r="Z1990" s="74"/>
      <c r="AA1990" s="74"/>
      <c r="AB1990" s="74"/>
      <c r="AC1990" s="74"/>
      <c r="AD1990" s="74"/>
      <c r="AE1990" s="74"/>
      <c r="AF1990" s="74"/>
      <c r="AG1990" s="74"/>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74"/>
      <c r="C2325" s="74"/>
      <c r="D2325" s="74"/>
      <c r="E2325" s="74"/>
      <c r="F2325" s="74"/>
      <c r="G2325" s="74"/>
      <c r="H2325" s="74"/>
      <c r="I2325" s="74"/>
      <c r="J2325" s="74"/>
      <c r="K2325" s="74"/>
      <c r="L2325" s="74"/>
      <c r="M2325" s="74"/>
      <c r="N2325" s="74"/>
      <c r="O2325" s="74"/>
      <c r="P2325" s="74"/>
      <c r="Q2325" s="74"/>
      <c r="R2325" s="74"/>
      <c r="S2325" s="74"/>
      <c r="T2325" s="74"/>
      <c r="U2325" s="74"/>
      <c r="V2325" s="74"/>
      <c r="W2325" s="74"/>
      <c r="X2325" s="74"/>
      <c r="Y2325" s="74"/>
      <c r="Z2325" s="74"/>
      <c r="AA2325" s="74"/>
      <c r="AB2325" s="74"/>
      <c r="AC2325" s="74"/>
      <c r="AD2325" s="74"/>
      <c r="AE2325" s="74"/>
      <c r="AF2325" s="74"/>
      <c r="AG2325" s="74"/>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74"/>
      <c r="C2645" s="74"/>
      <c r="D2645" s="74"/>
      <c r="E2645" s="74"/>
      <c r="F2645" s="74"/>
      <c r="G2645" s="74"/>
      <c r="H2645" s="74"/>
      <c r="I2645" s="74"/>
      <c r="J2645" s="74"/>
      <c r="K2645" s="74"/>
      <c r="L2645" s="74"/>
      <c r="M2645" s="74"/>
      <c r="N2645" s="74"/>
      <c r="O2645" s="74"/>
      <c r="P2645" s="74"/>
      <c r="Q2645" s="74"/>
      <c r="R2645" s="74"/>
      <c r="S2645" s="74"/>
      <c r="T2645" s="74"/>
      <c r="U2645" s="74"/>
      <c r="V2645" s="74"/>
      <c r="W2645" s="74"/>
      <c r="X2645" s="74"/>
      <c r="Y2645" s="74"/>
      <c r="Z2645" s="74"/>
      <c r="AA2645" s="74"/>
      <c r="AB2645" s="74"/>
      <c r="AC2645" s="74"/>
      <c r="AD2645" s="74"/>
      <c r="AE2645" s="74"/>
      <c r="AF2645" s="74"/>
      <c r="AG2645" s="74"/>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74"/>
      <c r="C2971" s="74"/>
      <c r="D2971" s="74"/>
      <c r="E2971" s="74"/>
      <c r="F2971" s="74"/>
      <c r="G2971" s="74"/>
      <c r="H2971" s="74"/>
      <c r="I2971" s="74"/>
      <c r="J2971" s="74"/>
      <c r="K2971" s="74"/>
      <c r="L2971" s="74"/>
      <c r="M2971" s="74"/>
      <c r="N2971" s="74"/>
      <c r="O2971" s="74"/>
      <c r="P2971" s="74"/>
      <c r="Q2971" s="74"/>
      <c r="R2971" s="74"/>
      <c r="S2971" s="74"/>
      <c r="T2971" s="74"/>
      <c r="U2971" s="74"/>
      <c r="V2971" s="74"/>
      <c r="W2971" s="74"/>
      <c r="X2971" s="74"/>
      <c r="Y2971" s="74"/>
      <c r="Z2971" s="74"/>
      <c r="AA2971" s="74"/>
      <c r="AB2971" s="74"/>
      <c r="AC2971" s="74"/>
      <c r="AD2971" s="74"/>
      <c r="AE2971" s="74"/>
      <c r="AF2971" s="74"/>
      <c r="AG2971" s="74"/>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74"/>
      <c r="C3293" s="74"/>
      <c r="D3293" s="74"/>
      <c r="E3293" s="74"/>
      <c r="F3293" s="74"/>
      <c r="G3293" s="74"/>
      <c r="H3293" s="74"/>
      <c r="I3293" s="74"/>
      <c r="J3293" s="74"/>
      <c r="K3293" s="74"/>
      <c r="L3293" s="74"/>
      <c r="M3293" s="74"/>
      <c r="N3293" s="74"/>
      <c r="O3293" s="74"/>
      <c r="P3293" s="74"/>
      <c r="Q3293" s="74"/>
      <c r="R3293" s="74"/>
      <c r="S3293" s="74"/>
      <c r="T3293" s="74"/>
      <c r="U3293" s="74"/>
      <c r="V3293" s="74"/>
      <c r="W3293" s="74"/>
      <c r="X3293" s="74"/>
      <c r="Y3293" s="74"/>
      <c r="Z3293" s="74"/>
      <c r="AA3293" s="74"/>
      <c r="AB3293" s="74"/>
      <c r="AC3293" s="74"/>
      <c r="AD3293" s="74"/>
      <c r="AE3293" s="74"/>
      <c r="AF3293" s="74"/>
      <c r="AG3293" s="74"/>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74"/>
      <c r="C3402" s="74"/>
      <c r="D3402" s="74"/>
      <c r="E3402" s="74"/>
      <c r="F3402" s="74"/>
      <c r="G3402" s="74"/>
      <c r="H3402" s="74"/>
      <c r="I3402" s="74"/>
      <c r="J3402" s="74"/>
      <c r="K3402" s="74"/>
      <c r="L3402" s="74"/>
      <c r="M3402" s="74"/>
      <c r="N3402" s="74"/>
      <c r="O3402" s="74"/>
      <c r="P3402" s="74"/>
      <c r="Q3402" s="74"/>
      <c r="R3402" s="74"/>
      <c r="S3402" s="74"/>
      <c r="T3402" s="74"/>
      <c r="U3402" s="74"/>
      <c r="V3402" s="74"/>
      <c r="W3402" s="74"/>
      <c r="X3402" s="74"/>
      <c r="Y3402" s="74"/>
      <c r="Z3402" s="74"/>
      <c r="AA3402" s="74"/>
      <c r="AB3402" s="74"/>
      <c r="AC3402" s="74"/>
      <c r="AD3402" s="74"/>
      <c r="AE3402" s="74"/>
      <c r="AF3402" s="74"/>
      <c r="AG3402" s="74"/>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74"/>
      <c r="C3527" s="74"/>
      <c r="D3527" s="74"/>
      <c r="E3527" s="74"/>
      <c r="F3527" s="74"/>
      <c r="G3527" s="74"/>
      <c r="H3527" s="74"/>
      <c r="I3527" s="74"/>
      <c r="J3527" s="74"/>
      <c r="K3527" s="74"/>
      <c r="L3527" s="74"/>
      <c r="M3527" s="74"/>
      <c r="N3527" s="74"/>
      <c r="O3527" s="74"/>
      <c r="P3527" s="74"/>
      <c r="Q3527" s="74"/>
      <c r="R3527" s="74"/>
      <c r="S3527" s="74"/>
      <c r="T3527" s="74"/>
      <c r="U3527" s="74"/>
      <c r="V3527" s="74"/>
      <c r="W3527" s="74"/>
      <c r="X3527" s="74"/>
      <c r="Y3527" s="74"/>
      <c r="Z3527" s="74"/>
      <c r="AA3527" s="74"/>
      <c r="AB3527" s="74"/>
      <c r="AC3527" s="74"/>
      <c r="AD3527" s="74"/>
      <c r="AE3527" s="74"/>
      <c r="AF3527" s="74"/>
      <c r="AG3527" s="74"/>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74"/>
      <c r="C3652" s="74"/>
      <c r="D3652" s="74"/>
      <c r="E3652" s="74"/>
      <c r="F3652" s="74"/>
      <c r="G3652" s="74"/>
      <c r="H3652" s="74"/>
      <c r="I3652" s="74"/>
      <c r="J3652" s="74"/>
      <c r="K3652" s="74"/>
      <c r="L3652" s="74"/>
      <c r="M3652" s="74"/>
      <c r="N3652" s="74"/>
      <c r="O3652" s="74"/>
      <c r="P3652" s="74"/>
      <c r="Q3652" s="74"/>
      <c r="R3652" s="74"/>
      <c r="S3652" s="74"/>
      <c r="T3652" s="74"/>
      <c r="U3652" s="74"/>
      <c r="V3652" s="74"/>
      <c r="W3652" s="74"/>
      <c r="X3652" s="74"/>
      <c r="Y3652" s="74"/>
      <c r="Z3652" s="74"/>
      <c r="AA3652" s="74"/>
      <c r="AB3652" s="74"/>
      <c r="AC3652" s="74"/>
      <c r="AD3652" s="74"/>
      <c r="AE3652" s="74"/>
      <c r="AF3652" s="74"/>
      <c r="AG3652" s="74"/>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74"/>
      <c r="C3777" s="74"/>
      <c r="D3777" s="74"/>
      <c r="E3777" s="74"/>
      <c r="F3777" s="74"/>
      <c r="G3777" s="74"/>
      <c r="H3777" s="74"/>
      <c r="I3777" s="74"/>
      <c r="J3777" s="74"/>
      <c r="K3777" s="74"/>
      <c r="L3777" s="74"/>
      <c r="M3777" s="74"/>
      <c r="N3777" s="74"/>
      <c r="O3777" s="74"/>
      <c r="P3777" s="74"/>
      <c r="Q3777" s="74"/>
      <c r="R3777" s="74"/>
      <c r="S3777" s="74"/>
      <c r="T3777" s="74"/>
      <c r="U3777" s="74"/>
      <c r="V3777" s="74"/>
      <c r="W3777" s="74"/>
      <c r="X3777" s="74"/>
      <c r="Y3777" s="74"/>
      <c r="Z3777" s="74"/>
      <c r="AA3777" s="74"/>
      <c r="AB3777" s="74"/>
      <c r="AC3777" s="74"/>
      <c r="AD3777" s="74"/>
      <c r="AE3777" s="74"/>
      <c r="AF3777" s="74"/>
      <c r="AG3777" s="74"/>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74"/>
      <c r="C3902" s="74"/>
      <c r="D3902" s="74"/>
      <c r="E3902" s="74"/>
      <c r="F3902" s="74"/>
      <c r="G3902" s="74"/>
      <c r="H3902" s="74"/>
      <c r="I3902" s="74"/>
      <c r="J3902" s="74"/>
      <c r="K3902" s="74"/>
      <c r="L3902" s="74"/>
      <c r="M3902" s="74"/>
      <c r="N3902" s="74"/>
      <c r="O3902" s="74"/>
      <c r="P3902" s="74"/>
      <c r="Q3902" s="74"/>
      <c r="R3902" s="74"/>
      <c r="S3902" s="74"/>
      <c r="T3902" s="74"/>
      <c r="U3902" s="74"/>
      <c r="V3902" s="74"/>
      <c r="W3902" s="74"/>
      <c r="X3902" s="74"/>
      <c r="Y3902" s="74"/>
      <c r="Z3902" s="74"/>
      <c r="AA3902" s="74"/>
      <c r="AB3902" s="74"/>
      <c r="AC3902" s="74"/>
      <c r="AD3902" s="74"/>
      <c r="AE3902" s="74"/>
      <c r="AF3902" s="74"/>
      <c r="AG3902" s="74"/>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74"/>
      <c r="C4027" s="74"/>
      <c r="D4027" s="74"/>
      <c r="E4027" s="74"/>
      <c r="F4027" s="74"/>
      <c r="G4027" s="74"/>
      <c r="H4027" s="74"/>
      <c r="I4027" s="74"/>
      <c r="J4027" s="74"/>
      <c r="K4027" s="74"/>
      <c r="L4027" s="74"/>
      <c r="M4027" s="74"/>
      <c r="N4027" s="74"/>
      <c r="O4027" s="74"/>
      <c r="P4027" s="74"/>
      <c r="Q4027" s="74"/>
      <c r="R4027" s="74"/>
      <c r="S4027" s="74"/>
      <c r="T4027" s="74"/>
      <c r="U4027" s="74"/>
      <c r="V4027" s="74"/>
      <c r="W4027" s="74"/>
      <c r="X4027" s="74"/>
      <c r="Y4027" s="74"/>
      <c r="Z4027" s="74"/>
      <c r="AA4027" s="74"/>
      <c r="AB4027" s="74"/>
      <c r="AC4027" s="74"/>
      <c r="AD4027" s="74"/>
      <c r="AE4027" s="74"/>
      <c r="AF4027" s="74"/>
      <c r="AG4027" s="74"/>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74"/>
      <c r="C4152" s="74"/>
      <c r="D4152" s="74"/>
      <c r="E4152" s="74"/>
      <c r="F4152" s="74"/>
      <c r="G4152" s="74"/>
      <c r="H4152" s="74"/>
      <c r="I4152" s="74"/>
      <c r="J4152" s="74"/>
      <c r="K4152" s="74"/>
      <c r="L4152" s="74"/>
      <c r="M4152" s="74"/>
      <c r="N4152" s="74"/>
      <c r="O4152" s="74"/>
      <c r="P4152" s="74"/>
      <c r="Q4152" s="74"/>
      <c r="R4152" s="74"/>
      <c r="S4152" s="74"/>
      <c r="T4152" s="74"/>
      <c r="U4152" s="74"/>
      <c r="V4152" s="74"/>
      <c r="W4152" s="74"/>
      <c r="X4152" s="74"/>
      <c r="Y4152" s="74"/>
      <c r="Z4152" s="74"/>
      <c r="AA4152" s="74"/>
      <c r="AB4152" s="74"/>
      <c r="AC4152" s="74"/>
      <c r="AD4152" s="74"/>
      <c r="AE4152" s="74"/>
      <c r="AF4152" s="74"/>
      <c r="AG4152" s="74"/>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74"/>
      <c r="C4277" s="74"/>
      <c r="D4277" s="74"/>
      <c r="E4277" s="74"/>
      <c r="F4277" s="74"/>
      <c r="G4277" s="74"/>
      <c r="H4277" s="74"/>
      <c r="I4277" s="74"/>
      <c r="J4277" s="74"/>
      <c r="K4277" s="74"/>
      <c r="L4277" s="74"/>
      <c r="M4277" s="74"/>
      <c r="N4277" s="74"/>
      <c r="O4277" s="74"/>
      <c r="P4277" s="74"/>
      <c r="Q4277" s="74"/>
      <c r="R4277" s="74"/>
      <c r="S4277" s="74"/>
      <c r="T4277" s="74"/>
      <c r="U4277" s="74"/>
      <c r="V4277" s="74"/>
      <c r="W4277" s="74"/>
      <c r="X4277" s="74"/>
      <c r="Y4277" s="74"/>
      <c r="Z4277" s="74"/>
      <c r="AA4277" s="74"/>
      <c r="AB4277" s="74"/>
      <c r="AC4277" s="74"/>
      <c r="AD4277" s="74"/>
      <c r="AE4277" s="74"/>
      <c r="AF4277" s="74"/>
      <c r="AG4277" s="74"/>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74"/>
      <c r="C4402" s="74"/>
      <c r="D4402" s="74"/>
      <c r="E4402" s="74"/>
      <c r="F4402" s="74"/>
      <c r="G4402" s="74"/>
      <c r="H4402" s="74"/>
      <c r="I4402" s="74"/>
      <c r="J4402" s="74"/>
      <c r="K4402" s="74"/>
      <c r="L4402" s="74"/>
      <c r="M4402" s="74"/>
      <c r="N4402" s="74"/>
      <c r="O4402" s="74"/>
      <c r="P4402" s="74"/>
      <c r="Q4402" s="74"/>
      <c r="R4402" s="74"/>
      <c r="S4402" s="74"/>
      <c r="T4402" s="74"/>
      <c r="U4402" s="74"/>
      <c r="V4402" s="74"/>
      <c r="W4402" s="74"/>
      <c r="X4402" s="74"/>
      <c r="Y4402" s="74"/>
      <c r="Z4402" s="74"/>
      <c r="AA4402" s="74"/>
      <c r="AB4402" s="74"/>
      <c r="AC4402" s="74"/>
      <c r="AD4402" s="74"/>
      <c r="AE4402" s="74"/>
      <c r="AF4402" s="74"/>
      <c r="AG4402" s="74"/>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4.25"/>
  <cols>
    <col min="1" max="1" width="45.730468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63F4A-742D-4EA9-974A-31C1D5B5D2D9}">
  <dimension ref="A1"/>
  <sheetViews>
    <sheetView workbookViewId="0">
      <selection sqref="A1:C23"/>
    </sheetView>
  </sheetViews>
  <sheetFormatPr defaultRowHeight="14.25"/>
  <cols>
    <col min="1" max="1" width="28.73046875" customWidth="1"/>
    <col min="2" max="2" width="22.73046875" customWidth="1"/>
    <col min="3" max="3" width="100.73046875" customWidth="1"/>
  </cols>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6E9DF-7033-4FC2-B8D5-A48EEF4795DF}">
  <dimension ref="A1:AB5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4.25"/>
  <cols>
    <col min="1" max="1" width="28.73046875" customWidth="1"/>
    <col min="2" max="28" width="11.73046875" customWidth="1"/>
  </cols>
  <sheetData>
    <row r="1" spans="1:28">
      <c r="A1" s="1" t="s">
        <v>2937</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 t="s">
        <v>203</v>
      </c>
      <c r="B2">
        <f>IFERROR(INDEX(Census_pop_2020_2025!G:G, MATCH("."&amp;$A$2, Census_pop_2020_2025!A:A, 0)),INDEX(Census_pop_2020_2025!G:G, MATCH($A$2, Census_pop_2020_2025!A:A, 0)))</f>
        <v>340003797</v>
      </c>
      <c r="C2">
        <f>IFERROR(INDEX(Census_pop_2020_2025!H:H, MATCH("."&amp;$A$2, Census_pop_2020_2025!A:A, 0)),INDEX(Census_pop_2020_2025!H:H, MATCH($A$2, Census_pop_2020_2025!A:A, 0)))</f>
        <v>341784857</v>
      </c>
      <c r="D2">
        <f>(IFERROR(INDEX(Census_pop_2020_2025!H:H, MATCH("."&amp;$A$2, Census_pop_2020_2025!A:A, 0)),INDEX(Census_pop_2020_2025!H:H, MATCH($A$2, Census_pop_2020_2025!A:A, 0))))+0.2*((INDEX(Cooper_pop_2030_2050!D:D, MATCH($A$2, Cooper_pop_2030_2050!B:B, 0)))-(IFERROR(INDEX(Census_pop_2020_2025!H:H, MATCH("."&amp;$A$2, Census_pop_2020_2025!A:A, 0)),INDEX(Census_pop_2020_2025!H:H, MATCH($A$2, Census_pop_2020_2025!A:A, 0)))))</f>
        <v>343367058.56720102</v>
      </c>
      <c r="E2">
        <f>(IFERROR(INDEX(Census_pop_2020_2025!H:H, MATCH("."&amp;$A$2, Census_pop_2020_2025!A:A, 0)),INDEX(Census_pop_2020_2025!H:H, MATCH($A$2, Census_pop_2020_2025!A:A, 0))))+0.4*((INDEX(Cooper_pop_2030_2050!D:D, MATCH($A$2, Cooper_pop_2030_2050!B:B, 0)))-(IFERROR(INDEX(Census_pop_2020_2025!H:H, MATCH("."&amp;$A$2, Census_pop_2020_2025!A:A, 0)),INDEX(Census_pop_2020_2025!H:H, MATCH($A$2, Census_pop_2020_2025!A:A, 0)))))</f>
        <v>344949260.13440204</v>
      </c>
      <c r="F2">
        <f>(IFERROR(INDEX(Census_pop_2020_2025!H:H, MATCH("."&amp;$A$2, Census_pop_2020_2025!A:A, 0)),INDEX(Census_pop_2020_2025!H:H, MATCH($A$2, Census_pop_2020_2025!A:A, 0))))+0.6*((INDEX(Cooper_pop_2030_2050!D:D, MATCH($A$2, Cooper_pop_2030_2050!B:B, 0)))-(IFERROR(INDEX(Census_pop_2020_2025!H:H, MATCH("."&amp;$A$2, Census_pop_2020_2025!A:A, 0)),INDEX(Census_pop_2020_2025!H:H, MATCH($A$2, Census_pop_2020_2025!A:A, 0)))))</f>
        <v>346531461.70160306</v>
      </c>
      <c r="G2">
        <f>(IFERROR(INDEX(Census_pop_2020_2025!H:H, MATCH("."&amp;$A$2, Census_pop_2020_2025!A:A, 0)),INDEX(Census_pop_2020_2025!H:H, MATCH($A$2, Census_pop_2020_2025!A:A, 0))))+0.8*((INDEX(Cooper_pop_2030_2050!D:D, MATCH($A$2, Cooper_pop_2030_2050!B:B, 0)))-(IFERROR(INDEX(Census_pop_2020_2025!H:H, MATCH("."&amp;$A$2, Census_pop_2020_2025!A:A, 0)),INDEX(Census_pop_2020_2025!H:H, MATCH($A$2, Census_pop_2020_2025!A:A, 0)))))</f>
        <v>348113663.26880407</v>
      </c>
      <c r="H2">
        <f>INDEX(Cooper_pop_2030_2050!D:D, MATCH($A$2, Cooper_pop_2030_2050!B:B, 0))</f>
        <v>349695864.83600509</v>
      </c>
      <c r="I2">
        <f>(INDEX(Cooper_pop_2030_2050!D:D, MATCH($A$2, Cooper_pop_2030_2050!B:B, 0)))+0.1*((INDEX(Cooper_pop_2030_2050!E:E, MATCH($A$2, Cooper_pop_2030_2050!B:B, 0)))-(INDEX(Cooper_pop_2030_2050!D:D, MATCH($A$2, Cooper_pop_2030_2050!B:B, 0))))</f>
        <v>350955625.45300847</v>
      </c>
      <c r="J2">
        <f>(INDEX(Cooper_pop_2030_2050!D:D, MATCH($A$2, Cooper_pop_2030_2050!B:B, 0)))+0.2*((INDEX(Cooper_pop_2030_2050!E:E, MATCH($A$2, Cooper_pop_2030_2050!B:B, 0)))-(INDEX(Cooper_pop_2030_2050!D:D, MATCH($A$2, Cooper_pop_2030_2050!B:B, 0))))</f>
        <v>352215386.07001179</v>
      </c>
      <c r="K2">
        <f>(INDEX(Cooper_pop_2030_2050!D:D, MATCH($A$2, Cooper_pop_2030_2050!B:B, 0)))+0.3*((INDEX(Cooper_pop_2030_2050!E:E, MATCH($A$2, Cooper_pop_2030_2050!B:B, 0)))-(INDEX(Cooper_pop_2030_2050!D:D, MATCH($A$2, Cooper_pop_2030_2050!B:B, 0))))</f>
        <v>353475146.68701518</v>
      </c>
      <c r="L2">
        <f>(INDEX(Cooper_pop_2030_2050!D:D, MATCH($A$2, Cooper_pop_2030_2050!B:B, 0)))+0.4*((INDEX(Cooper_pop_2030_2050!E:E, MATCH($A$2, Cooper_pop_2030_2050!B:B, 0)))-(INDEX(Cooper_pop_2030_2050!D:D, MATCH($A$2, Cooper_pop_2030_2050!B:B, 0))))</f>
        <v>354734907.30401856</v>
      </c>
      <c r="M2">
        <f>(INDEX(Cooper_pop_2030_2050!D:D, MATCH($A$2, Cooper_pop_2030_2050!B:B, 0)))+0.5*((INDEX(Cooper_pop_2030_2050!E:E, MATCH($A$2, Cooper_pop_2030_2050!B:B, 0)))-(INDEX(Cooper_pop_2030_2050!D:D, MATCH($A$2, Cooper_pop_2030_2050!B:B, 0))))</f>
        <v>355994667.92102194</v>
      </c>
      <c r="N2">
        <f>(INDEX(Cooper_pop_2030_2050!D:D, MATCH($A$2, Cooper_pop_2030_2050!B:B, 0)))+0.6*((INDEX(Cooper_pop_2030_2050!E:E, MATCH($A$2, Cooper_pop_2030_2050!B:B, 0)))-(INDEX(Cooper_pop_2030_2050!D:D, MATCH($A$2, Cooper_pop_2030_2050!B:B, 0))))</f>
        <v>357254428.53802526</v>
      </c>
      <c r="O2">
        <f>(INDEX(Cooper_pop_2030_2050!D:D, MATCH($A$2, Cooper_pop_2030_2050!B:B, 0)))+0.7*((INDEX(Cooper_pop_2030_2050!E:E, MATCH($A$2, Cooper_pop_2030_2050!B:B, 0)))-(INDEX(Cooper_pop_2030_2050!D:D, MATCH($A$2, Cooper_pop_2030_2050!B:B, 0))))</f>
        <v>358514189.15502864</v>
      </c>
      <c r="P2">
        <f>(INDEX(Cooper_pop_2030_2050!D:D, MATCH($A$2, Cooper_pop_2030_2050!B:B, 0)))+0.8*((INDEX(Cooper_pop_2030_2050!E:E, MATCH($A$2, Cooper_pop_2030_2050!B:B, 0)))-(INDEX(Cooper_pop_2030_2050!D:D, MATCH($A$2, Cooper_pop_2030_2050!B:B, 0))))</f>
        <v>359773949.77203202</v>
      </c>
      <c r="Q2">
        <f>(INDEX(Cooper_pop_2030_2050!D:D, MATCH($A$2, Cooper_pop_2030_2050!B:B, 0)))+0.9*((INDEX(Cooper_pop_2030_2050!E:E, MATCH($A$2, Cooper_pop_2030_2050!B:B, 0)))-(INDEX(Cooper_pop_2030_2050!D:D, MATCH($A$2, Cooper_pop_2030_2050!B:B, 0))))</f>
        <v>361033710.38903534</v>
      </c>
      <c r="R2">
        <f>INDEX(Cooper_pop_2030_2050!E:E, MATCH($A$2, Cooper_pop_2030_2050!B:B, 0))</f>
        <v>362293471.00603873</v>
      </c>
      <c r="S2">
        <f>(INDEX(Cooper_pop_2030_2050!E:E, MATCH($A$2, Cooper_pop_2030_2050!B:B, 0)))+0.1*((INDEX(Cooper_pop_2030_2050!F:F, MATCH($A$2, Cooper_pop_2030_2050!B:B, 0)))-(INDEX(Cooper_pop_2030_2050!E:E, MATCH($A$2, Cooper_pop_2030_2050!B:B, 0))))</f>
        <v>363240822.0587166</v>
      </c>
      <c r="T2">
        <f>(INDEX(Cooper_pop_2030_2050!E:E, MATCH($A$2, Cooper_pop_2030_2050!B:B, 0)))+0.2*((INDEX(Cooper_pop_2030_2050!F:F, MATCH($A$2, Cooper_pop_2030_2050!B:B, 0)))-(INDEX(Cooper_pop_2030_2050!E:E, MATCH($A$2, Cooper_pop_2030_2050!B:B, 0))))</f>
        <v>364188173.11139446</v>
      </c>
      <c r="U2">
        <f>(INDEX(Cooper_pop_2030_2050!E:E, MATCH($A$2, Cooper_pop_2030_2050!B:B, 0)))+0.3*((INDEX(Cooper_pop_2030_2050!F:F, MATCH($A$2, Cooper_pop_2030_2050!B:B, 0)))-(INDEX(Cooper_pop_2030_2050!E:E, MATCH($A$2, Cooper_pop_2030_2050!B:B, 0))))</f>
        <v>365135524.16407233</v>
      </c>
      <c r="V2">
        <f>(INDEX(Cooper_pop_2030_2050!E:E, MATCH($A$2, Cooper_pop_2030_2050!B:B, 0)))+0.4*((INDEX(Cooper_pop_2030_2050!F:F, MATCH($A$2, Cooper_pop_2030_2050!B:B, 0)))-(INDEX(Cooper_pop_2030_2050!E:E, MATCH($A$2, Cooper_pop_2030_2050!B:B, 0))))</f>
        <v>366082875.2167502</v>
      </c>
      <c r="W2">
        <f>(INDEX(Cooper_pop_2030_2050!E:E, MATCH($A$2, Cooper_pop_2030_2050!B:B, 0)))+0.5*((INDEX(Cooper_pop_2030_2050!F:F, MATCH($A$2, Cooper_pop_2030_2050!B:B, 0)))-(INDEX(Cooper_pop_2030_2050!E:E, MATCH($A$2, Cooper_pop_2030_2050!B:B, 0))))</f>
        <v>367030226.26942807</v>
      </c>
      <c r="X2">
        <f>(INDEX(Cooper_pop_2030_2050!E:E, MATCH($A$2, Cooper_pop_2030_2050!B:B, 0)))+0.6*((INDEX(Cooper_pop_2030_2050!F:F, MATCH($A$2, Cooper_pop_2030_2050!B:B, 0)))-(INDEX(Cooper_pop_2030_2050!E:E, MATCH($A$2, Cooper_pop_2030_2050!B:B, 0))))</f>
        <v>367977577.32210594</v>
      </c>
      <c r="Y2">
        <f>(INDEX(Cooper_pop_2030_2050!E:E, MATCH($A$2, Cooper_pop_2030_2050!B:B, 0)))+0.7*((INDEX(Cooper_pop_2030_2050!F:F, MATCH($A$2, Cooper_pop_2030_2050!B:B, 0)))-(INDEX(Cooper_pop_2030_2050!E:E, MATCH($A$2, Cooper_pop_2030_2050!B:B, 0))))</f>
        <v>368924928.37478381</v>
      </c>
      <c r="Z2">
        <f>(INDEX(Cooper_pop_2030_2050!E:E, MATCH($A$2, Cooper_pop_2030_2050!B:B, 0)))+0.8*((INDEX(Cooper_pop_2030_2050!F:F, MATCH($A$2, Cooper_pop_2030_2050!B:B, 0)))-(INDEX(Cooper_pop_2030_2050!E:E, MATCH($A$2, Cooper_pop_2030_2050!B:B, 0))))</f>
        <v>369872279.42746168</v>
      </c>
      <c r="AA2">
        <f>(INDEX(Cooper_pop_2030_2050!E:E, MATCH($A$2, Cooper_pop_2030_2050!B:B, 0)))+0.9*((INDEX(Cooper_pop_2030_2050!F:F, MATCH($A$2, Cooper_pop_2030_2050!B:B, 0)))-(INDEX(Cooper_pop_2030_2050!E:E, MATCH($A$2, Cooper_pop_2030_2050!B:B, 0))))</f>
        <v>370819630.48013955</v>
      </c>
      <c r="AB2">
        <f>INDEX(Cooper_pop_2030_2050!F:F, MATCH($A$2, Cooper_pop_2030_2050!B:B, 0))</f>
        <v>371766981.53281742</v>
      </c>
    </row>
    <row r="3" spans="1:28">
      <c r="A3" t="s">
        <v>2885</v>
      </c>
      <c r="B3">
        <f>IFERROR(INDEX(Census_pop_2020_2025!G:G, MATCH("."&amp;$A3, Census_pop_2020_2025!A:A, 0)),INDEX(Census_pop_2020_2025!G:G, MATCH($A3, Census_pop_2020_2025!A:A, 0)))</f>
        <v>5163055</v>
      </c>
      <c r="C3">
        <f>IFERROR(INDEX(Census_pop_2020_2025!H:H, MATCH("."&amp;$A3, Census_pop_2020_2025!A:A, 0)),INDEX(Census_pop_2020_2025!H:H, MATCH($A3, Census_pop_2020_2025!A:A, 0)))</f>
        <v>5193088</v>
      </c>
      <c r="D3">
        <f>(IFERROR(INDEX(Census_pop_2020_2025!H:H, MATCH("."&amp;$A3, Census_pop_2020_2025!A:A, 0)),INDEX(Census_pop_2020_2025!H:H, MATCH($A3, Census_pop_2020_2025!A:A, 0))))+0.2*((INDEX(Cooper_pop_2030_2050!D:D, MATCH($A3, Cooper_pop_2030_2050!B:B, 0)))-(IFERROR(INDEX(Census_pop_2020_2025!H:H, MATCH("."&amp;$A3, Census_pop_2020_2025!A:A, 0)),INDEX(Census_pop_2020_2025!H:H, MATCH($A3, Census_pop_2020_2025!A:A, 0)))))</f>
        <v>5197258.7918799911</v>
      </c>
      <c r="E3">
        <f>(IFERROR(INDEX(Census_pop_2020_2025!H:H, MATCH("."&amp;$A3, Census_pop_2020_2025!A:A, 0)),INDEX(Census_pop_2020_2025!H:H, MATCH($A3, Census_pop_2020_2025!A:A, 0))))+0.4*((INDEX(Cooper_pop_2030_2050!D:D, MATCH($A3, Cooper_pop_2030_2050!B:B, 0)))-(IFERROR(INDEX(Census_pop_2020_2025!H:H, MATCH("."&amp;$A3, Census_pop_2020_2025!A:A, 0)),INDEX(Census_pop_2020_2025!H:H, MATCH($A3, Census_pop_2020_2025!A:A, 0)))))</f>
        <v>5201429.5837599821</v>
      </c>
      <c r="F3">
        <f>(IFERROR(INDEX(Census_pop_2020_2025!H:H, MATCH("."&amp;$A3, Census_pop_2020_2025!A:A, 0)),INDEX(Census_pop_2020_2025!H:H, MATCH($A3, Census_pop_2020_2025!A:A, 0))))+0.6*((INDEX(Cooper_pop_2030_2050!D:D, MATCH($A3, Cooper_pop_2030_2050!B:B, 0)))-(IFERROR(INDEX(Census_pop_2020_2025!H:H, MATCH("."&amp;$A3, Census_pop_2020_2025!A:A, 0)),INDEX(Census_pop_2020_2025!H:H, MATCH($A3, Census_pop_2020_2025!A:A, 0)))))</f>
        <v>5205600.3756399723</v>
      </c>
      <c r="G3">
        <f>(IFERROR(INDEX(Census_pop_2020_2025!H:H, MATCH("."&amp;$A3, Census_pop_2020_2025!A:A, 0)),INDEX(Census_pop_2020_2025!H:H, MATCH($A3, Census_pop_2020_2025!A:A, 0))))+0.8*((INDEX(Cooper_pop_2030_2050!D:D, MATCH($A3, Cooper_pop_2030_2050!B:B, 0)))-(IFERROR(INDEX(Census_pop_2020_2025!H:H, MATCH("."&amp;$A3, Census_pop_2020_2025!A:A, 0)),INDEX(Census_pop_2020_2025!H:H, MATCH($A3, Census_pop_2020_2025!A:A, 0)))))</f>
        <v>5209771.1675199633</v>
      </c>
      <c r="H3">
        <f>INDEX(Cooper_pop_2030_2050!D:D, MATCH($A3, Cooper_pop_2030_2050!B:B, 0))</f>
        <v>5213941.9593999544</v>
      </c>
      <c r="I3">
        <f>(INDEX(Cooper_pop_2030_2050!D:D, MATCH($A3, Cooper_pop_2030_2050!B:B, 0)))+0.1*((INDEX(Cooper_pop_2030_2050!E:E, MATCH($A3, Cooper_pop_2030_2050!B:B, 0)))-(INDEX(Cooper_pop_2030_2050!D:D, MATCH($A3, Cooper_pop_2030_2050!B:B, 0))))</f>
        <v>5219488.9628647845</v>
      </c>
      <c r="J3">
        <f>(INDEX(Cooper_pop_2030_2050!D:D, MATCH($A3, Cooper_pop_2030_2050!B:B, 0)))+0.2*((INDEX(Cooper_pop_2030_2050!E:E, MATCH($A3, Cooper_pop_2030_2050!B:B, 0)))-(INDEX(Cooper_pop_2030_2050!D:D, MATCH($A3, Cooper_pop_2030_2050!B:B, 0))))</f>
        <v>5225035.9663296146</v>
      </c>
      <c r="K3">
        <f>(INDEX(Cooper_pop_2030_2050!D:D, MATCH($A3, Cooper_pop_2030_2050!B:B, 0)))+0.3*((INDEX(Cooper_pop_2030_2050!E:E, MATCH($A3, Cooper_pop_2030_2050!B:B, 0)))-(INDEX(Cooper_pop_2030_2050!D:D, MATCH($A3, Cooper_pop_2030_2050!B:B, 0))))</f>
        <v>5230582.9697944447</v>
      </c>
      <c r="L3">
        <f>(INDEX(Cooper_pop_2030_2050!D:D, MATCH($A3, Cooper_pop_2030_2050!B:B, 0)))+0.4*((INDEX(Cooper_pop_2030_2050!E:E, MATCH($A3, Cooper_pop_2030_2050!B:B, 0)))-(INDEX(Cooper_pop_2030_2050!D:D, MATCH($A3, Cooper_pop_2030_2050!B:B, 0))))</f>
        <v>5236129.9732592748</v>
      </c>
      <c r="M3">
        <f>(INDEX(Cooper_pop_2030_2050!D:D, MATCH($A3, Cooper_pop_2030_2050!B:B, 0)))+0.5*((INDEX(Cooper_pop_2030_2050!E:E, MATCH($A3, Cooper_pop_2030_2050!B:B, 0)))-(INDEX(Cooper_pop_2030_2050!D:D, MATCH($A3, Cooper_pop_2030_2050!B:B, 0))))</f>
        <v>5241676.976724105</v>
      </c>
      <c r="N3">
        <f>(INDEX(Cooper_pop_2030_2050!D:D, MATCH($A3, Cooper_pop_2030_2050!B:B, 0)))+0.6*((INDEX(Cooper_pop_2030_2050!E:E, MATCH($A3, Cooper_pop_2030_2050!B:B, 0)))-(INDEX(Cooper_pop_2030_2050!D:D, MATCH($A3, Cooper_pop_2030_2050!B:B, 0))))</f>
        <v>5247223.9801889341</v>
      </c>
      <c r="O3">
        <f>(INDEX(Cooper_pop_2030_2050!D:D, MATCH($A3, Cooper_pop_2030_2050!B:B, 0)))+0.7*((INDEX(Cooper_pop_2030_2050!E:E, MATCH($A3, Cooper_pop_2030_2050!B:B, 0)))-(INDEX(Cooper_pop_2030_2050!D:D, MATCH($A3, Cooper_pop_2030_2050!B:B, 0))))</f>
        <v>5252770.9836537642</v>
      </c>
      <c r="P3">
        <f>(INDEX(Cooper_pop_2030_2050!D:D, MATCH($A3, Cooper_pop_2030_2050!B:B, 0)))+0.8*((INDEX(Cooper_pop_2030_2050!E:E, MATCH($A3, Cooper_pop_2030_2050!B:B, 0)))-(INDEX(Cooper_pop_2030_2050!D:D, MATCH($A3, Cooper_pop_2030_2050!B:B, 0))))</f>
        <v>5258317.9871185943</v>
      </c>
      <c r="Q3">
        <f>(INDEX(Cooper_pop_2030_2050!D:D, MATCH($A3, Cooper_pop_2030_2050!B:B, 0)))+0.9*((INDEX(Cooper_pop_2030_2050!E:E, MATCH($A3, Cooper_pop_2030_2050!B:B, 0)))-(INDEX(Cooper_pop_2030_2050!D:D, MATCH($A3, Cooper_pop_2030_2050!B:B, 0))))</f>
        <v>5263864.9905834245</v>
      </c>
      <c r="R3">
        <f>INDEX(Cooper_pop_2030_2050!E:E, MATCH($A3, Cooper_pop_2030_2050!B:B, 0))</f>
        <v>5269411.9940482546</v>
      </c>
      <c r="S3">
        <f>(INDEX(Cooper_pop_2030_2050!E:E, MATCH($A3, Cooper_pop_2030_2050!B:B, 0)))+0.1*((INDEX(Cooper_pop_2030_2050!F:F, MATCH($A3, Cooper_pop_2030_2050!B:B, 0)))-(INDEX(Cooper_pop_2030_2050!E:E, MATCH($A3, Cooper_pop_2030_2050!B:B, 0))))</f>
        <v>5268777.6774073839</v>
      </c>
      <c r="T3">
        <f>(INDEX(Cooper_pop_2030_2050!E:E, MATCH($A3, Cooper_pop_2030_2050!B:B, 0)))+0.2*((INDEX(Cooper_pop_2030_2050!F:F, MATCH($A3, Cooper_pop_2030_2050!B:B, 0)))-(INDEX(Cooper_pop_2030_2050!E:E, MATCH($A3, Cooper_pop_2030_2050!B:B, 0))))</f>
        <v>5268143.3607665142</v>
      </c>
      <c r="U3">
        <f>(INDEX(Cooper_pop_2030_2050!E:E, MATCH($A3, Cooper_pop_2030_2050!B:B, 0)))+0.3*((INDEX(Cooper_pop_2030_2050!F:F, MATCH($A3, Cooper_pop_2030_2050!B:B, 0)))-(INDEX(Cooper_pop_2030_2050!E:E, MATCH($A3, Cooper_pop_2030_2050!B:B, 0))))</f>
        <v>5267509.0441256436</v>
      </c>
      <c r="V3">
        <f>(INDEX(Cooper_pop_2030_2050!E:E, MATCH($A3, Cooper_pop_2030_2050!B:B, 0)))+0.4*((INDEX(Cooper_pop_2030_2050!F:F, MATCH($A3, Cooper_pop_2030_2050!B:B, 0)))-(INDEX(Cooper_pop_2030_2050!E:E, MATCH($A3, Cooper_pop_2030_2050!B:B, 0))))</f>
        <v>5266874.7274847738</v>
      </c>
      <c r="W3">
        <f>(INDEX(Cooper_pop_2030_2050!E:E, MATCH($A3, Cooper_pop_2030_2050!B:B, 0)))+0.5*((INDEX(Cooper_pop_2030_2050!F:F, MATCH($A3, Cooper_pop_2030_2050!B:B, 0)))-(INDEX(Cooper_pop_2030_2050!E:E, MATCH($A3, Cooper_pop_2030_2050!B:B, 0))))</f>
        <v>5266240.4108439032</v>
      </c>
      <c r="X3">
        <f>(INDEX(Cooper_pop_2030_2050!E:E, MATCH($A3, Cooper_pop_2030_2050!B:B, 0)))+0.6*((INDEX(Cooper_pop_2030_2050!F:F, MATCH($A3, Cooper_pop_2030_2050!B:B, 0)))-(INDEX(Cooper_pop_2030_2050!E:E, MATCH($A3, Cooper_pop_2030_2050!B:B, 0))))</f>
        <v>5265606.0942030326</v>
      </c>
      <c r="Y3">
        <f>(INDEX(Cooper_pop_2030_2050!E:E, MATCH($A3, Cooper_pop_2030_2050!B:B, 0)))+0.7*((INDEX(Cooper_pop_2030_2050!F:F, MATCH($A3, Cooper_pop_2030_2050!B:B, 0)))-(INDEX(Cooper_pop_2030_2050!E:E, MATCH($A3, Cooper_pop_2030_2050!B:B, 0))))</f>
        <v>5264971.7775621628</v>
      </c>
      <c r="Z3">
        <f>(INDEX(Cooper_pop_2030_2050!E:E, MATCH($A3, Cooper_pop_2030_2050!B:B, 0)))+0.8*((INDEX(Cooper_pop_2030_2050!F:F, MATCH($A3, Cooper_pop_2030_2050!B:B, 0)))-(INDEX(Cooper_pop_2030_2050!E:E, MATCH($A3, Cooper_pop_2030_2050!B:B, 0))))</f>
        <v>5264337.4609212922</v>
      </c>
      <c r="AA3">
        <f>(INDEX(Cooper_pop_2030_2050!E:E, MATCH($A3, Cooper_pop_2030_2050!B:B, 0)))+0.9*((INDEX(Cooper_pop_2030_2050!F:F, MATCH($A3, Cooper_pop_2030_2050!B:B, 0)))-(INDEX(Cooper_pop_2030_2050!E:E, MATCH($A3, Cooper_pop_2030_2050!B:B, 0))))</f>
        <v>5263703.1442804225</v>
      </c>
      <c r="AB3">
        <f>INDEX(Cooper_pop_2030_2050!F:F, MATCH($A3, Cooper_pop_2030_2050!B:B, 0))</f>
        <v>5263068.8276395518</v>
      </c>
    </row>
    <row r="4" spans="1:28">
      <c r="A4" t="s">
        <v>2887</v>
      </c>
      <c r="B4">
        <f>IFERROR(INDEX(Census_pop_2020_2025!G:G, MATCH("."&amp;$A4, Census_pop_2020_2025!A:A, 0)),INDEX(Census_pop_2020_2025!G:G, MATCH($A4, Census_pop_2020_2025!A:A, 0)))</f>
        <v>7556424</v>
      </c>
      <c r="C4">
        <f>IFERROR(INDEX(Census_pop_2020_2025!H:H, MATCH("."&amp;$A4, Census_pop_2020_2025!A:A, 0)),INDEX(Census_pop_2020_2025!H:H, MATCH($A4, Census_pop_2020_2025!A:A, 0)))</f>
        <v>7623818</v>
      </c>
      <c r="D4">
        <f>(IFERROR(INDEX(Census_pop_2020_2025!H:H, MATCH("."&amp;$A4, Census_pop_2020_2025!A:A, 0)),INDEX(Census_pop_2020_2025!H:H, MATCH($A4, Census_pop_2020_2025!A:A, 0))))+0.2*((INDEX(Cooper_pop_2030_2050!D:D, MATCH($A4, Cooper_pop_2030_2050!B:B, 0)))-(IFERROR(INDEX(Census_pop_2020_2025!H:H, MATCH("."&amp;$A4, Census_pop_2020_2025!A:A, 0)),INDEX(Census_pop_2020_2025!H:H, MATCH($A4, Census_pop_2020_2025!A:A, 0)))))</f>
        <v>7652301.5789602641</v>
      </c>
      <c r="E4">
        <f>(IFERROR(INDEX(Census_pop_2020_2025!H:H, MATCH("."&amp;$A4, Census_pop_2020_2025!A:A, 0)),INDEX(Census_pop_2020_2025!H:H, MATCH($A4, Census_pop_2020_2025!A:A, 0))))+0.4*((INDEX(Cooper_pop_2030_2050!D:D, MATCH($A4, Cooper_pop_2030_2050!B:B, 0)))-(IFERROR(INDEX(Census_pop_2020_2025!H:H, MATCH("."&amp;$A4, Census_pop_2020_2025!A:A, 0)),INDEX(Census_pop_2020_2025!H:H, MATCH($A4, Census_pop_2020_2025!A:A, 0)))))</f>
        <v>7680785.1579205282</v>
      </c>
      <c r="F4">
        <f>(IFERROR(INDEX(Census_pop_2020_2025!H:H, MATCH("."&amp;$A4, Census_pop_2020_2025!A:A, 0)),INDEX(Census_pop_2020_2025!H:H, MATCH($A4, Census_pop_2020_2025!A:A, 0))))+0.6*((INDEX(Cooper_pop_2030_2050!D:D, MATCH($A4, Cooper_pop_2030_2050!B:B, 0)))-(IFERROR(INDEX(Census_pop_2020_2025!H:H, MATCH("."&amp;$A4, Census_pop_2020_2025!A:A, 0)),INDEX(Census_pop_2020_2025!H:H, MATCH($A4, Census_pop_2020_2025!A:A, 0)))))</f>
        <v>7709268.7368807932</v>
      </c>
      <c r="G4">
        <f>(IFERROR(INDEX(Census_pop_2020_2025!H:H, MATCH("."&amp;$A4, Census_pop_2020_2025!A:A, 0)),INDEX(Census_pop_2020_2025!H:H, MATCH($A4, Census_pop_2020_2025!A:A, 0))))+0.8*((INDEX(Cooper_pop_2030_2050!D:D, MATCH($A4, Cooper_pop_2030_2050!B:B, 0)))-(IFERROR(INDEX(Census_pop_2020_2025!H:H, MATCH("."&amp;$A4, Census_pop_2020_2025!A:A, 0)),INDEX(Census_pop_2020_2025!H:H, MATCH($A4, Census_pop_2020_2025!A:A, 0)))))</f>
        <v>7737752.3158410573</v>
      </c>
      <c r="H4">
        <f>INDEX(Cooper_pop_2030_2050!D:D, MATCH($A4, Cooper_pop_2030_2050!B:B, 0))</f>
        <v>7766235.8948013214</v>
      </c>
      <c r="I4">
        <f>(INDEX(Cooper_pop_2030_2050!D:D, MATCH($A4, Cooper_pop_2030_2050!B:B, 0)))+0.1*((INDEX(Cooper_pop_2030_2050!E:E, MATCH($A4, Cooper_pop_2030_2050!B:B, 0)))-(INDEX(Cooper_pop_2030_2050!D:D, MATCH($A4, Cooper_pop_2030_2050!B:B, 0))))</f>
        <v>7825015.3352482785</v>
      </c>
      <c r="J4">
        <f>(INDEX(Cooper_pop_2030_2050!D:D, MATCH($A4, Cooper_pop_2030_2050!B:B, 0)))+0.2*((INDEX(Cooper_pop_2030_2050!E:E, MATCH($A4, Cooper_pop_2030_2050!B:B, 0)))-(INDEX(Cooper_pop_2030_2050!D:D, MATCH($A4, Cooper_pop_2030_2050!B:B, 0))))</f>
        <v>7883794.7756952345</v>
      </c>
      <c r="K4">
        <f>(INDEX(Cooper_pop_2030_2050!D:D, MATCH($A4, Cooper_pop_2030_2050!B:B, 0)))+0.3*((INDEX(Cooper_pop_2030_2050!E:E, MATCH($A4, Cooper_pop_2030_2050!B:B, 0)))-(INDEX(Cooper_pop_2030_2050!D:D, MATCH($A4, Cooper_pop_2030_2050!B:B, 0))))</f>
        <v>7942574.2161421906</v>
      </c>
      <c r="L4">
        <f>(INDEX(Cooper_pop_2030_2050!D:D, MATCH($A4, Cooper_pop_2030_2050!B:B, 0)))+0.4*((INDEX(Cooper_pop_2030_2050!E:E, MATCH($A4, Cooper_pop_2030_2050!B:B, 0)))-(INDEX(Cooper_pop_2030_2050!D:D, MATCH($A4, Cooper_pop_2030_2050!B:B, 0))))</f>
        <v>8001353.6565891476</v>
      </c>
      <c r="M4">
        <f>(INDEX(Cooper_pop_2030_2050!D:D, MATCH($A4, Cooper_pop_2030_2050!B:B, 0)))+0.5*((INDEX(Cooper_pop_2030_2050!E:E, MATCH($A4, Cooper_pop_2030_2050!B:B, 0)))-(INDEX(Cooper_pop_2030_2050!D:D, MATCH($A4, Cooper_pop_2030_2050!B:B, 0))))</f>
        <v>8060133.0970361046</v>
      </c>
      <c r="N4">
        <f>(INDEX(Cooper_pop_2030_2050!D:D, MATCH($A4, Cooper_pop_2030_2050!B:B, 0)))+0.6*((INDEX(Cooper_pop_2030_2050!E:E, MATCH($A4, Cooper_pop_2030_2050!B:B, 0)))-(INDEX(Cooper_pop_2030_2050!D:D, MATCH($A4, Cooper_pop_2030_2050!B:B, 0))))</f>
        <v>8118912.5374830607</v>
      </c>
      <c r="O4">
        <f>(INDEX(Cooper_pop_2030_2050!D:D, MATCH($A4, Cooper_pop_2030_2050!B:B, 0)))+0.7*((INDEX(Cooper_pop_2030_2050!E:E, MATCH($A4, Cooper_pop_2030_2050!B:B, 0)))-(INDEX(Cooper_pop_2030_2050!D:D, MATCH($A4, Cooper_pop_2030_2050!B:B, 0))))</f>
        <v>8177691.9779300168</v>
      </c>
      <c r="P4">
        <f>(INDEX(Cooper_pop_2030_2050!D:D, MATCH($A4, Cooper_pop_2030_2050!B:B, 0)))+0.8*((INDEX(Cooper_pop_2030_2050!E:E, MATCH($A4, Cooper_pop_2030_2050!B:B, 0)))-(INDEX(Cooper_pop_2030_2050!D:D, MATCH($A4, Cooper_pop_2030_2050!B:B, 0))))</f>
        <v>8236471.4183769738</v>
      </c>
      <c r="Q4">
        <f>(INDEX(Cooper_pop_2030_2050!D:D, MATCH($A4, Cooper_pop_2030_2050!B:B, 0)))+0.9*((INDEX(Cooper_pop_2030_2050!E:E, MATCH($A4, Cooper_pop_2030_2050!B:B, 0)))-(INDEX(Cooper_pop_2030_2050!D:D, MATCH($A4, Cooper_pop_2030_2050!B:B, 0))))</f>
        <v>8295250.8588239308</v>
      </c>
      <c r="R4">
        <f>INDEX(Cooper_pop_2030_2050!E:E, MATCH($A4, Cooper_pop_2030_2050!B:B, 0))</f>
        <v>8354030.2992708869</v>
      </c>
      <c r="S4">
        <f>(INDEX(Cooper_pop_2030_2050!E:E, MATCH($A4, Cooper_pop_2030_2050!B:B, 0)))+0.1*((INDEX(Cooper_pop_2030_2050!F:F, MATCH($A4, Cooper_pop_2030_2050!B:B, 0)))-(INDEX(Cooper_pop_2030_2050!E:E, MATCH($A4, Cooper_pop_2030_2050!B:B, 0))))</f>
        <v>8406728.4449421857</v>
      </c>
      <c r="T4">
        <f>(INDEX(Cooper_pop_2030_2050!E:E, MATCH($A4, Cooper_pop_2030_2050!B:B, 0)))+0.2*((INDEX(Cooper_pop_2030_2050!F:F, MATCH($A4, Cooper_pop_2030_2050!B:B, 0)))-(INDEX(Cooper_pop_2030_2050!E:E, MATCH($A4, Cooper_pop_2030_2050!B:B, 0))))</f>
        <v>8459426.5906134844</v>
      </c>
      <c r="U4">
        <f>(INDEX(Cooper_pop_2030_2050!E:E, MATCH($A4, Cooper_pop_2030_2050!B:B, 0)))+0.3*((INDEX(Cooper_pop_2030_2050!F:F, MATCH($A4, Cooper_pop_2030_2050!B:B, 0)))-(INDEX(Cooper_pop_2030_2050!E:E, MATCH($A4, Cooper_pop_2030_2050!B:B, 0))))</f>
        <v>8512124.7362847831</v>
      </c>
      <c r="V4">
        <f>(INDEX(Cooper_pop_2030_2050!E:E, MATCH($A4, Cooper_pop_2030_2050!B:B, 0)))+0.4*((INDEX(Cooper_pop_2030_2050!F:F, MATCH($A4, Cooper_pop_2030_2050!B:B, 0)))-(INDEX(Cooper_pop_2030_2050!E:E, MATCH($A4, Cooper_pop_2030_2050!B:B, 0))))</f>
        <v>8564822.8819560818</v>
      </c>
      <c r="W4">
        <f>(INDEX(Cooper_pop_2030_2050!E:E, MATCH($A4, Cooper_pop_2030_2050!B:B, 0)))+0.5*((INDEX(Cooper_pop_2030_2050!F:F, MATCH($A4, Cooper_pop_2030_2050!B:B, 0)))-(INDEX(Cooper_pop_2030_2050!E:E, MATCH($A4, Cooper_pop_2030_2050!B:B, 0))))</f>
        <v>8617521.0276273806</v>
      </c>
      <c r="X4">
        <f>(INDEX(Cooper_pop_2030_2050!E:E, MATCH($A4, Cooper_pop_2030_2050!B:B, 0)))+0.6*((INDEX(Cooper_pop_2030_2050!F:F, MATCH($A4, Cooper_pop_2030_2050!B:B, 0)))-(INDEX(Cooper_pop_2030_2050!E:E, MATCH($A4, Cooper_pop_2030_2050!B:B, 0))))</f>
        <v>8670219.1732986793</v>
      </c>
      <c r="Y4">
        <f>(INDEX(Cooper_pop_2030_2050!E:E, MATCH($A4, Cooper_pop_2030_2050!B:B, 0)))+0.7*((INDEX(Cooper_pop_2030_2050!F:F, MATCH($A4, Cooper_pop_2030_2050!B:B, 0)))-(INDEX(Cooper_pop_2030_2050!E:E, MATCH($A4, Cooper_pop_2030_2050!B:B, 0))))</f>
        <v>8722917.318969978</v>
      </c>
      <c r="Z4">
        <f>(INDEX(Cooper_pop_2030_2050!E:E, MATCH($A4, Cooper_pop_2030_2050!B:B, 0)))+0.8*((INDEX(Cooper_pop_2030_2050!F:F, MATCH($A4, Cooper_pop_2030_2050!B:B, 0)))-(INDEX(Cooper_pop_2030_2050!E:E, MATCH($A4, Cooper_pop_2030_2050!B:B, 0))))</f>
        <v>8775615.4646412767</v>
      </c>
      <c r="AA4">
        <f>(INDEX(Cooper_pop_2030_2050!E:E, MATCH($A4, Cooper_pop_2030_2050!B:B, 0)))+0.9*((INDEX(Cooper_pop_2030_2050!F:F, MATCH($A4, Cooper_pop_2030_2050!B:B, 0)))-(INDEX(Cooper_pop_2030_2050!E:E, MATCH($A4, Cooper_pop_2030_2050!B:B, 0))))</f>
        <v>8828313.6103125755</v>
      </c>
      <c r="AB4">
        <f>INDEX(Cooper_pop_2030_2050!F:F, MATCH($A4, Cooper_pop_2030_2050!B:B, 0))</f>
        <v>8881011.7559838742</v>
      </c>
    </row>
    <row r="5" spans="1:28">
      <c r="A5" t="s">
        <v>2888</v>
      </c>
      <c r="B5">
        <f>IFERROR(INDEX(Census_pop_2020_2025!G:G, MATCH("."&amp;$A5, Census_pop_2020_2025!A:A, 0)),INDEX(Census_pop_2020_2025!G:G, MATCH($A5, Census_pop_2020_2025!A:A, 0)))</f>
        <v>3096080</v>
      </c>
      <c r="C5">
        <f>IFERROR(INDEX(Census_pop_2020_2025!H:H, MATCH("."&amp;$A5, Census_pop_2020_2025!A:A, 0)),INDEX(Census_pop_2020_2025!H:H, MATCH($A5, Census_pop_2020_2025!A:A, 0)))</f>
        <v>3114791</v>
      </c>
      <c r="D5">
        <f>(IFERROR(INDEX(Census_pop_2020_2025!H:H, MATCH("."&amp;$A5, Census_pop_2020_2025!A:A, 0)),INDEX(Census_pop_2020_2025!H:H, MATCH($A5, Census_pop_2020_2025!A:A, 0))))+0.2*((INDEX(Cooper_pop_2030_2050!D:D, MATCH($A5, Cooper_pop_2030_2050!B:B, 0)))-(IFERROR(INDEX(Census_pop_2020_2025!H:H, MATCH("."&amp;$A5, Census_pop_2020_2025!A:A, 0)),INDEX(Census_pop_2020_2025!H:H, MATCH($A5, Census_pop_2020_2025!A:A, 0)))))</f>
        <v>3108791.9692826066</v>
      </c>
      <c r="E5">
        <f>(IFERROR(INDEX(Census_pop_2020_2025!H:H, MATCH("."&amp;$A5, Census_pop_2020_2025!A:A, 0)),INDEX(Census_pop_2020_2025!H:H, MATCH($A5, Census_pop_2020_2025!A:A, 0))))+0.4*((INDEX(Cooper_pop_2030_2050!D:D, MATCH($A5, Cooper_pop_2030_2050!B:B, 0)))-(IFERROR(INDEX(Census_pop_2020_2025!H:H, MATCH("."&amp;$A5, Census_pop_2020_2025!A:A, 0)),INDEX(Census_pop_2020_2025!H:H, MATCH($A5, Census_pop_2020_2025!A:A, 0)))))</f>
        <v>3102792.9385652137</v>
      </c>
      <c r="F5">
        <f>(IFERROR(INDEX(Census_pop_2020_2025!H:H, MATCH("."&amp;$A5, Census_pop_2020_2025!A:A, 0)),INDEX(Census_pop_2020_2025!H:H, MATCH($A5, Census_pop_2020_2025!A:A, 0))))+0.6*((INDEX(Cooper_pop_2030_2050!D:D, MATCH($A5, Cooper_pop_2030_2050!B:B, 0)))-(IFERROR(INDEX(Census_pop_2020_2025!H:H, MATCH("."&amp;$A5, Census_pop_2020_2025!A:A, 0)),INDEX(Census_pop_2020_2025!H:H, MATCH($A5, Census_pop_2020_2025!A:A, 0)))))</f>
        <v>3096793.9078478203</v>
      </c>
      <c r="G5">
        <f>(IFERROR(INDEX(Census_pop_2020_2025!H:H, MATCH("."&amp;$A5, Census_pop_2020_2025!A:A, 0)),INDEX(Census_pop_2020_2025!H:H, MATCH($A5, Census_pop_2020_2025!A:A, 0))))+0.8*((INDEX(Cooper_pop_2030_2050!D:D, MATCH($A5, Cooper_pop_2030_2050!B:B, 0)))-(IFERROR(INDEX(Census_pop_2020_2025!H:H, MATCH("."&amp;$A5, Census_pop_2020_2025!A:A, 0)),INDEX(Census_pop_2020_2025!H:H, MATCH($A5, Census_pop_2020_2025!A:A, 0)))))</f>
        <v>3090794.8771304274</v>
      </c>
      <c r="H5">
        <f>INDEX(Cooper_pop_2030_2050!D:D, MATCH($A5, Cooper_pop_2030_2050!B:B, 0))</f>
        <v>3084795.846413034</v>
      </c>
      <c r="I5">
        <f>(INDEX(Cooper_pop_2030_2050!D:D, MATCH($A5, Cooper_pop_2030_2050!B:B, 0)))+0.1*((INDEX(Cooper_pop_2030_2050!E:E, MATCH($A5, Cooper_pop_2030_2050!B:B, 0)))-(INDEX(Cooper_pop_2030_2050!D:D, MATCH($A5, Cooper_pop_2030_2050!B:B, 0))))</f>
        <v>3082627.9538537622</v>
      </c>
      <c r="J5">
        <f>(INDEX(Cooper_pop_2030_2050!D:D, MATCH($A5, Cooper_pop_2030_2050!B:B, 0)))+0.2*((INDEX(Cooper_pop_2030_2050!E:E, MATCH($A5, Cooper_pop_2030_2050!B:B, 0)))-(INDEX(Cooper_pop_2030_2050!D:D, MATCH($A5, Cooper_pop_2030_2050!B:B, 0))))</f>
        <v>3080460.0612944905</v>
      </c>
      <c r="K5">
        <f>(INDEX(Cooper_pop_2030_2050!D:D, MATCH($A5, Cooper_pop_2030_2050!B:B, 0)))+0.3*((INDEX(Cooper_pop_2030_2050!E:E, MATCH($A5, Cooper_pop_2030_2050!B:B, 0)))-(INDEX(Cooper_pop_2030_2050!D:D, MATCH($A5, Cooper_pop_2030_2050!B:B, 0))))</f>
        <v>3078292.1687352187</v>
      </c>
      <c r="L5">
        <f>(INDEX(Cooper_pop_2030_2050!D:D, MATCH($A5, Cooper_pop_2030_2050!B:B, 0)))+0.4*((INDEX(Cooper_pop_2030_2050!E:E, MATCH($A5, Cooper_pop_2030_2050!B:B, 0)))-(INDEX(Cooper_pop_2030_2050!D:D, MATCH($A5, Cooper_pop_2030_2050!B:B, 0))))</f>
        <v>3076124.2761759469</v>
      </c>
      <c r="M5">
        <f>(INDEX(Cooper_pop_2030_2050!D:D, MATCH($A5, Cooper_pop_2030_2050!B:B, 0)))+0.5*((INDEX(Cooper_pop_2030_2050!E:E, MATCH($A5, Cooper_pop_2030_2050!B:B, 0)))-(INDEX(Cooper_pop_2030_2050!D:D, MATCH($A5, Cooper_pop_2030_2050!B:B, 0))))</f>
        <v>3073956.3836166747</v>
      </c>
      <c r="N5">
        <f>(INDEX(Cooper_pop_2030_2050!D:D, MATCH($A5, Cooper_pop_2030_2050!B:B, 0)))+0.6*((INDEX(Cooper_pop_2030_2050!E:E, MATCH($A5, Cooper_pop_2030_2050!B:B, 0)))-(INDEX(Cooper_pop_2030_2050!D:D, MATCH($A5, Cooper_pop_2030_2050!B:B, 0))))</f>
        <v>3071788.4910574029</v>
      </c>
      <c r="O5">
        <f>(INDEX(Cooper_pop_2030_2050!D:D, MATCH($A5, Cooper_pop_2030_2050!B:B, 0)))+0.7*((INDEX(Cooper_pop_2030_2050!E:E, MATCH($A5, Cooper_pop_2030_2050!B:B, 0)))-(INDEX(Cooper_pop_2030_2050!D:D, MATCH($A5, Cooper_pop_2030_2050!B:B, 0))))</f>
        <v>3069620.5984981311</v>
      </c>
      <c r="P5">
        <f>(INDEX(Cooper_pop_2030_2050!D:D, MATCH($A5, Cooper_pop_2030_2050!B:B, 0)))+0.8*((INDEX(Cooper_pop_2030_2050!E:E, MATCH($A5, Cooper_pop_2030_2050!B:B, 0)))-(INDEX(Cooper_pop_2030_2050!D:D, MATCH($A5, Cooper_pop_2030_2050!B:B, 0))))</f>
        <v>3067452.7059388594</v>
      </c>
      <c r="Q5">
        <f>(INDEX(Cooper_pop_2030_2050!D:D, MATCH($A5, Cooper_pop_2030_2050!B:B, 0)))+0.9*((INDEX(Cooper_pop_2030_2050!E:E, MATCH($A5, Cooper_pop_2030_2050!B:B, 0)))-(INDEX(Cooper_pop_2030_2050!D:D, MATCH($A5, Cooper_pop_2030_2050!B:B, 0))))</f>
        <v>3065284.8133795876</v>
      </c>
      <c r="R5">
        <f>INDEX(Cooper_pop_2030_2050!E:E, MATCH($A5, Cooper_pop_2030_2050!B:B, 0))</f>
        <v>3063116.9208203158</v>
      </c>
      <c r="S5">
        <f>(INDEX(Cooper_pop_2030_2050!E:E, MATCH($A5, Cooper_pop_2030_2050!B:B, 0)))+0.1*((INDEX(Cooper_pop_2030_2050!F:F, MATCH($A5, Cooper_pop_2030_2050!B:B, 0)))-(INDEX(Cooper_pop_2030_2050!E:E, MATCH($A5, Cooper_pop_2030_2050!B:B, 0))))</f>
        <v>3057400.1592046143</v>
      </c>
      <c r="T5">
        <f>(INDEX(Cooper_pop_2030_2050!E:E, MATCH($A5, Cooper_pop_2030_2050!B:B, 0)))+0.2*((INDEX(Cooper_pop_2030_2050!F:F, MATCH($A5, Cooper_pop_2030_2050!B:B, 0)))-(INDEX(Cooper_pop_2030_2050!E:E, MATCH($A5, Cooper_pop_2030_2050!B:B, 0))))</f>
        <v>3051683.3975889129</v>
      </c>
      <c r="U5">
        <f>(INDEX(Cooper_pop_2030_2050!E:E, MATCH($A5, Cooper_pop_2030_2050!B:B, 0)))+0.3*((INDEX(Cooper_pop_2030_2050!F:F, MATCH($A5, Cooper_pop_2030_2050!B:B, 0)))-(INDEX(Cooper_pop_2030_2050!E:E, MATCH($A5, Cooper_pop_2030_2050!B:B, 0))))</f>
        <v>3045966.6359732118</v>
      </c>
      <c r="V5">
        <f>(INDEX(Cooper_pop_2030_2050!E:E, MATCH($A5, Cooper_pop_2030_2050!B:B, 0)))+0.4*((INDEX(Cooper_pop_2030_2050!F:F, MATCH($A5, Cooper_pop_2030_2050!B:B, 0)))-(INDEX(Cooper_pop_2030_2050!E:E, MATCH($A5, Cooper_pop_2030_2050!B:B, 0))))</f>
        <v>3040249.8743575104</v>
      </c>
      <c r="W5">
        <f>(INDEX(Cooper_pop_2030_2050!E:E, MATCH($A5, Cooper_pop_2030_2050!B:B, 0)))+0.5*((INDEX(Cooper_pop_2030_2050!F:F, MATCH($A5, Cooper_pop_2030_2050!B:B, 0)))-(INDEX(Cooper_pop_2030_2050!E:E, MATCH($A5, Cooper_pop_2030_2050!B:B, 0))))</f>
        <v>3034533.1127418089</v>
      </c>
      <c r="X5">
        <f>(INDEX(Cooper_pop_2030_2050!E:E, MATCH($A5, Cooper_pop_2030_2050!B:B, 0)))+0.6*((INDEX(Cooper_pop_2030_2050!F:F, MATCH($A5, Cooper_pop_2030_2050!B:B, 0)))-(INDEX(Cooper_pop_2030_2050!E:E, MATCH($A5, Cooper_pop_2030_2050!B:B, 0))))</f>
        <v>3028816.3511261074</v>
      </c>
      <c r="Y5">
        <f>(INDEX(Cooper_pop_2030_2050!E:E, MATCH($A5, Cooper_pop_2030_2050!B:B, 0)))+0.7*((INDEX(Cooper_pop_2030_2050!F:F, MATCH($A5, Cooper_pop_2030_2050!B:B, 0)))-(INDEX(Cooper_pop_2030_2050!E:E, MATCH($A5, Cooper_pop_2030_2050!B:B, 0))))</f>
        <v>3023099.5895104059</v>
      </c>
      <c r="Z5">
        <f>(INDEX(Cooper_pop_2030_2050!E:E, MATCH($A5, Cooper_pop_2030_2050!B:B, 0)))+0.8*((INDEX(Cooper_pop_2030_2050!F:F, MATCH($A5, Cooper_pop_2030_2050!B:B, 0)))-(INDEX(Cooper_pop_2030_2050!E:E, MATCH($A5, Cooper_pop_2030_2050!B:B, 0))))</f>
        <v>3017382.8278947049</v>
      </c>
      <c r="AA5">
        <f>(INDEX(Cooper_pop_2030_2050!E:E, MATCH($A5, Cooper_pop_2030_2050!B:B, 0)))+0.9*((INDEX(Cooper_pop_2030_2050!F:F, MATCH($A5, Cooper_pop_2030_2050!B:B, 0)))-(INDEX(Cooper_pop_2030_2050!E:E, MATCH($A5, Cooper_pop_2030_2050!B:B, 0))))</f>
        <v>3011666.0662790034</v>
      </c>
      <c r="AB5">
        <f>INDEX(Cooper_pop_2030_2050!F:F, MATCH($A5, Cooper_pop_2030_2050!B:B, 0))</f>
        <v>3005949.3046633019</v>
      </c>
    </row>
    <row r="6" spans="1:28">
      <c r="A6" t="s">
        <v>2889</v>
      </c>
      <c r="B6">
        <f>IFERROR(INDEX(Census_pop_2020_2025!G:G, MATCH("."&amp;$A6, Census_pop_2020_2025!A:A, 0)),INDEX(Census_pop_2020_2025!G:G, MATCH($A6, Census_pop_2020_2025!A:A, 0)))</f>
        <v>39364774</v>
      </c>
      <c r="C6">
        <f>IFERROR(INDEX(Census_pop_2020_2025!H:H, MATCH("."&amp;$A6, Census_pop_2020_2025!A:A, 0)),INDEX(Census_pop_2020_2025!H:H, MATCH($A6, Census_pop_2020_2025!A:A, 0)))</f>
        <v>39355309</v>
      </c>
      <c r="D6">
        <f>(IFERROR(INDEX(Census_pop_2020_2025!H:H, MATCH("."&amp;$A6, Census_pop_2020_2025!A:A, 0)),INDEX(Census_pop_2020_2025!H:H, MATCH($A6, Census_pop_2020_2025!A:A, 0))))+0.2*((INDEX(Cooper_pop_2030_2050!D:D, MATCH($A6, Cooper_pop_2030_2050!B:B, 0)))-(IFERROR(INDEX(Census_pop_2020_2025!H:H, MATCH("."&amp;$A6, Census_pop_2020_2025!A:A, 0)),INDEX(Census_pop_2020_2025!H:H, MATCH($A6, Census_pop_2020_2025!A:A, 0)))))</f>
        <v>39748538.082592554</v>
      </c>
      <c r="E6">
        <f>(IFERROR(INDEX(Census_pop_2020_2025!H:H, MATCH("."&amp;$A6, Census_pop_2020_2025!A:A, 0)),INDEX(Census_pop_2020_2025!H:H, MATCH($A6, Census_pop_2020_2025!A:A, 0))))+0.4*((INDEX(Cooper_pop_2030_2050!D:D, MATCH($A6, Cooper_pop_2030_2050!B:B, 0)))-(IFERROR(INDEX(Census_pop_2020_2025!H:H, MATCH("."&amp;$A6, Census_pop_2020_2025!A:A, 0)),INDEX(Census_pop_2020_2025!H:H, MATCH($A6, Census_pop_2020_2025!A:A, 0)))))</f>
        <v>40141767.165185116</v>
      </c>
      <c r="F6">
        <f>(IFERROR(INDEX(Census_pop_2020_2025!H:H, MATCH("."&amp;$A6, Census_pop_2020_2025!A:A, 0)),INDEX(Census_pop_2020_2025!H:H, MATCH($A6, Census_pop_2020_2025!A:A, 0))))+0.6*((INDEX(Cooper_pop_2030_2050!D:D, MATCH($A6, Cooper_pop_2030_2050!B:B, 0)))-(IFERROR(INDEX(Census_pop_2020_2025!H:H, MATCH("."&amp;$A6, Census_pop_2020_2025!A:A, 0)),INDEX(Census_pop_2020_2025!H:H, MATCH($A6, Census_pop_2020_2025!A:A, 0)))))</f>
        <v>40534996.247777671</v>
      </c>
      <c r="G6">
        <f>(IFERROR(INDEX(Census_pop_2020_2025!H:H, MATCH("."&amp;$A6, Census_pop_2020_2025!A:A, 0)),INDEX(Census_pop_2020_2025!H:H, MATCH($A6, Census_pop_2020_2025!A:A, 0))))+0.8*((INDEX(Cooper_pop_2030_2050!D:D, MATCH($A6, Cooper_pop_2030_2050!B:B, 0)))-(IFERROR(INDEX(Census_pop_2020_2025!H:H, MATCH("."&amp;$A6, Census_pop_2020_2025!A:A, 0)),INDEX(Census_pop_2020_2025!H:H, MATCH($A6, Census_pop_2020_2025!A:A, 0)))))</f>
        <v>40928225.330370232</v>
      </c>
      <c r="H6">
        <f>INDEX(Cooper_pop_2030_2050!D:D, MATCH($A6, Cooper_pop_2030_2050!B:B, 0))</f>
        <v>41321454.412962787</v>
      </c>
      <c r="I6">
        <f>(INDEX(Cooper_pop_2030_2050!D:D, MATCH($A6, Cooper_pop_2030_2050!B:B, 0)))+0.1*((INDEX(Cooper_pop_2030_2050!E:E, MATCH($A6, Cooper_pop_2030_2050!B:B, 0)))-(INDEX(Cooper_pop_2030_2050!D:D, MATCH($A6, Cooper_pop_2030_2050!B:B, 0))))</f>
        <v>41405754.300935946</v>
      </c>
      <c r="J6">
        <f>(INDEX(Cooper_pop_2030_2050!D:D, MATCH($A6, Cooper_pop_2030_2050!B:B, 0)))+0.2*((INDEX(Cooper_pop_2030_2050!E:E, MATCH($A6, Cooper_pop_2030_2050!B:B, 0)))-(INDEX(Cooper_pop_2030_2050!D:D, MATCH($A6, Cooper_pop_2030_2050!B:B, 0))))</f>
        <v>41490054.188909099</v>
      </c>
      <c r="K6">
        <f>(INDEX(Cooper_pop_2030_2050!D:D, MATCH($A6, Cooper_pop_2030_2050!B:B, 0)))+0.3*((INDEX(Cooper_pop_2030_2050!E:E, MATCH($A6, Cooper_pop_2030_2050!B:B, 0)))-(INDEX(Cooper_pop_2030_2050!D:D, MATCH($A6, Cooper_pop_2030_2050!B:B, 0))))</f>
        <v>41574354.076882258</v>
      </c>
      <c r="L6">
        <f>(INDEX(Cooper_pop_2030_2050!D:D, MATCH($A6, Cooper_pop_2030_2050!B:B, 0)))+0.4*((INDEX(Cooper_pop_2030_2050!E:E, MATCH($A6, Cooper_pop_2030_2050!B:B, 0)))-(INDEX(Cooper_pop_2030_2050!D:D, MATCH($A6, Cooper_pop_2030_2050!B:B, 0))))</f>
        <v>41658653.964855418</v>
      </c>
      <c r="M6">
        <f>(INDEX(Cooper_pop_2030_2050!D:D, MATCH($A6, Cooper_pop_2030_2050!B:B, 0)))+0.5*((INDEX(Cooper_pop_2030_2050!E:E, MATCH($A6, Cooper_pop_2030_2050!B:B, 0)))-(INDEX(Cooper_pop_2030_2050!D:D, MATCH($A6, Cooper_pop_2030_2050!B:B, 0))))</f>
        <v>41742953.852828577</v>
      </c>
      <c r="N6">
        <f>(INDEX(Cooper_pop_2030_2050!D:D, MATCH($A6, Cooper_pop_2030_2050!B:B, 0)))+0.6*((INDEX(Cooper_pop_2030_2050!E:E, MATCH($A6, Cooper_pop_2030_2050!B:B, 0)))-(INDEX(Cooper_pop_2030_2050!D:D, MATCH($A6, Cooper_pop_2030_2050!B:B, 0))))</f>
        <v>41827253.740801729</v>
      </c>
      <c r="O6">
        <f>(INDEX(Cooper_pop_2030_2050!D:D, MATCH($A6, Cooper_pop_2030_2050!B:B, 0)))+0.7*((INDEX(Cooper_pop_2030_2050!E:E, MATCH($A6, Cooper_pop_2030_2050!B:B, 0)))-(INDEX(Cooper_pop_2030_2050!D:D, MATCH($A6, Cooper_pop_2030_2050!B:B, 0))))</f>
        <v>41911553.628774889</v>
      </c>
      <c r="P6">
        <f>(INDEX(Cooper_pop_2030_2050!D:D, MATCH($A6, Cooper_pop_2030_2050!B:B, 0)))+0.8*((INDEX(Cooper_pop_2030_2050!E:E, MATCH($A6, Cooper_pop_2030_2050!B:B, 0)))-(INDEX(Cooper_pop_2030_2050!D:D, MATCH($A6, Cooper_pop_2030_2050!B:B, 0))))</f>
        <v>41995853.516748048</v>
      </c>
      <c r="Q6">
        <f>(INDEX(Cooper_pop_2030_2050!D:D, MATCH($A6, Cooper_pop_2030_2050!B:B, 0)))+0.9*((INDEX(Cooper_pop_2030_2050!E:E, MATCH($A6, Cooper_pop_2030_2050!B:B, 0)))-(INDEX(Cooper_pop_2030_2050!D:D, MATCH($A6, Cooper_pop_2030_2050!B:B, 0))))</f>
        <v>42080153.4047212</v>
      </c>
      <c r="R6">
        <f>INDEX(Cooper_pop_2030_2050!E:E, MATCH($A6, Cooper_pop_2030_2050!B:B, 0))</f>
        <v>42164453.29269436</v>
      </c>
      <c r="S6">
        <f>(INDEX(Cooper_pop_2030_2050!E:E, MATCH($A6, Cooper_pop_2030_2050!B:B, 0)))+0.1*((INDEX(Cooper_pop_2030_2050!F:F, MATCH($A6, Cooper_pop_2030_2050!B:B, 0)))-(INDEX(Cooper_pop_2030_2050!E:E, MATCH($A6, Cooper_pop_2030_2050!B:B, 0))))</f>
        <v>42200057.139837377</v>
      </c>
      <c r="T6">
        <f>(INDEX(Cooper_pop_2030_2050!E:E, MATCH($A6, Cooper_pop_2030_2050!B:B, 0)))+0.2*((INDEX(Cooper_pop_2030_2050!F:F, MATCH($A6, Cooper_pop_2030_2050!B:B, 0)))-(INDEX(Cooper_pop_2030_2050!E:E, MATCH($A6, Cooper_pop_2030_2050!B:B, 0))))</f>
        <v>42235660.986980386</v>
      </c>
      <c r="U6">
        <f>(INDEX(Cooper_pop_2030_2050!E:E, MATCH($A6, Cooper_pop_2030_2050!B:B, 0)))+0.3*((INDEX(Cooper_pop_2030_2050!F:F, MATCH($A6, Cooper_pop_2030_2050!B:B, 0)))-(INDEX(Cooper_pop_2030_2050!E:E, MATCH($A6, Cooper_pop_2030_2050!B:B, 0))))</f>
        <v>42271264.834123403</v>
      </c>
      <c r="V6">
        <f>(INDEX(Cooper_pop_2030_2050!E:E, MATCH($A6, Cooper_pop_2030_2050!B:B, 0)))+0.4*((INDEX(Cooper_pop_2030_2050!F:F, MATCH($A6, Cooper_pop_2030_2050!B:B, 0)))-(INDEX(Cooper_pop_2030_2050!E:E, MATCH($A6, Cooper_pop_2030_2050!B:B, 0))))</f>
        <v>42306868.681266412</v>
      </c>
      <c r="W6">
        <f>(INDEX(Cooper_pop_2030_2050!E:E, MATCH($A6, Cooper_pop_2030_2050!B:B, 0)))+0.5*((INDEX(Cooper_pop_2030_2050!F:F, MATCH($A6, Cooper_pop_2030_2050!B:B, 0)))-(INDEX(Cooper_pop_2030_2050!E:E, MATCH($A6, Cooper_pop_2030_2050!B:B, 0))))</f>
        <v>42342472.528409429</v>
      </c>
      <c r="X6">
        <f>(INDEX(Cooper_pop_2030_2050!E:E, MATCH($A6, Cooper_pop_2030_2050!B:B, 0)))+0.6*((INDEX(Cooper_pop_2030_2050!F:F, MATCH($A6, Cooper_pop_2030_2050!B:B, 0)))-(INDEX(Cooper_pop_2030_2050!E:E, MATCH($A6, Cooper_pop_2030_2050!B:B, 0))))</f>
        <v>42378076.375552446</v>
      </c>
      <c r="Y6">
        <f>(INDEX(Cooper_pop_2030_2050!E:E, MATCH($A6, Cooper_pop_2030_2050!B:B, 0)))+0.7*((INDEX(Cooper_pop_2030_2050!F:F, MATCH($A6, Cooper_pop_2030_2050!B:B, 0)))-(INDEX(Cooper_pop_2030_2050!E:E, MATCH($A6, Cooper_pop_2030_2050!B:B, 0))))</f>
        <v>42413680.222695455</v>
      </c>
      <c r="Z6">
        <f>(INDEX(Cooper_pop_2030_2050!E:E, MATCH($A6, Cooper_pop_2030_2050!B:B, 0)))+0.8*((INDEX(Cooper_pop_2030_2050!F:F, MATCH($A6, Cooper_pop_2030_2050!B:B, 0)))-(INDEX(Cooper_pop_2030_2050!E:E, MATCH($A6, Cooper_pop_2030_2050!B:B, 0))))</f>
        <v>42449284.069838472</v>
      </c>
      <c r="AA6">
        <f>(INDEX(Cooper_pop_2030_2050!E:E, MATCH($A6, Cooper_pop_2030_2050!B:B, 0)))+0.9*((INDEX(Cooper_pop_2030_2050!F:F, MATCH($A6, Cooper_pop_2030_2050!B:B, 0)))-(INDEX(Cooper_pop_2030_2050!E:E, MATCH($A6, Cooper_pop_2030_2050!B:B, 0))))</f>
        <v>42484887.916981481</v>
      </c>
      <c r="AB6">
        <f>INDEX(Cooper_pop_2030_2050!F:F, MATCH($A6, Cooper_pop_2030_2050!B:B, 0))</f>
        <v>42520491.764124498</v>
      </c>
    </row>
    <row r="7" spans="1:28">
      <c r="A7" t="s">
        <v>2890</v>
      </c>
      <c r="B7">
        <f>IFERROR(INDEX(Census_pop_2020_2025!G:G, MATCH("."&amp;$A7, Census_pop_2020_2025!A:A, 0)),INDEX(Census_pop_2020_2025!G:G, MATCH($A7, Census_pop_2020_2025!A:A, 0)))</f>
        <v>5988502</v>
      </c>
      <c r="C7">
        <f>IFERROR(INDEX(Census_pop_2020_2025!H:H, MATCH("."&amp;$A7, Census_pop_2020_2025!A:A, 0)),INDEX(Census_pop_2020_2025!H:H, MATCH($A7, Census_pop_2020_2025!A:A, 0)))</f>
        <v>6012561</v>
      </c>
      <c r="D7">
        <f>(IFERROR(INDEX(Census_pop_2020_2025!H:H, MATCH("."&amp;$A7, Census_pop_2020_2025!A:A, 0)),INDEX(Census_pop_2020_2025!H:H, MATCH($A7, Census_pop_2020_2025!A:A, 0))))+0.2*((INDEX(Cooper_pop_2030_2050!D:D, MATCH($A7, Cooper_pop_2030_2050!B:B, 0)))-(IFERROR(INDEX(Census_pop_2020_2025!H:H, MATCH("."&amp;$A7, Census_pop_2020_2025!A:A, 0)),INDEX(Census_pop_2020_2025!H:H, MATCH($A7, Census_pop_2020_2025!A:A, 0)))))</f>
        <v>6087491.0826532114</v>
      </c>
      <c r="E7">
        <f>(IFERROR(INDEX(Census_pop_2020_2025!H:H, MATCH("."&amp;$A7, Census_pop_2020_2025!A:A, 0)),INDEX(Census_pop_2020_2025!H:H, MATCH($A7, Census_pop_2020_2025!A:A, 0))))+0.4*((INDEX(Cooper_pop_2030_2050!D:D, MATCH($A7, Cooper_pop_2030_2050!B:B, 0)))-(IFERROR(INDEX(Census_pop_2020_2025!H:H, MATCH("."&amp;$A7, Census_pop_2020_2025!A:A, 0)),INDEX(Census_pop_2020_2025!H:H, MATCH($A7, Census_pop_2020_2025!A:A, 0)))))</f>
        <v>6162421.1653064229</v>
      </c>
      <c r="F7">
        <f>(IFERROR(INDEX(Census_pop_2020_2025!H:H, MATCH("."&amp;$A7, Census_pop_2020_2025!A:A, 0)),INDEX(Census_pop_2020_2025!H:H, MATCH($A7, Census_pop_2020_2025!A:A, 0))))+0.6*((INDEX(Cooper_pop_2030_2050!D:D, MATCH($A7, Cooper_pop_2030_2050!B:B, 0)))-(IFERROR(INDEX(Census_pop_2020_2025!H:H, MATCH("."&amp;$A7, Census_pop_2020_2025!A:A, 0)),INDEX(Census_pop_2020_2025!H:H, MATCH($A7, Census_pop_2020_2025!A:A, 0)))))</f>
        <v>6237351.2479596343</v>
      </c>
      <c r="G7">
        <f>(IFERROR(INDEX(Census_pop_2020_2025!H:H, MATCH("."&amp;$A7, Census_pop_2020_2025!A:A, 0)),INDEX(Census_pop_2020_2025!H:H, MATCH($A7, Census_pop_2020_2025!A:A, 0))))+0.8*((INDEX(Cooper_pop_2030_2050!D:D, MATCH($A7, Cooper_pop_2030_2050!B:B, 0)))-(IFERROR(INDEX(Census_pop_2020_2025!H:H, MATCH("."&amp;$A7, Census_pop_2020_2025!A:A, 0)),INDEX(Census_pop_2020_2025!H:H, MATCH($A7, Census_pop_2020_2025!A:A, 0)))))</f>
        <v>6312281.3306128457</v>
      </c>
      <c r="H7">
        <f>INDEX(Cooper_pop_2030_2050!D:D, MATCH($A7, Cooper_pop_2030_2050!B:B, 0))</f>
        <v>6387211.4132660571</v>
      </c>
      <c r="I7">
        <f>(INDEX(Cooper_pop_2030_2050!D:D, MATCH($A7, Cooper_pop_2030_2050!B:B, 0)))+0.1*((INDEX(Cooper_pop_2030_2050!E:E, MATCH($A7, Cooper_pop_2030_2050!B:B, 0)))-(INDEX(Cooper_pop_2030_2050!D:D, MATCH($A7, Cooper_pop_2030_2050!B:B, 0))))</f>
        <v>6453498.3973099124</v>
      </c>
      <c r="J7">
        <f>(INDEX(Cooper_pop_2030_2050!D:D, MATCH($A7, Cooper_pop_2030_2050!B:B, 0)))+0.2*((INDEX(Cooper_pop_2030_2050!E:E, MATCH($A7, Cooper_pop_2030_2050!B:B, 0)))-(INDEX(Cooper_pop_2030_2050!D:D, MATCH($A7, Cooper_pop_2030_2050!B:B, 0))))</f>
        <v>6519785.3813537685</v>
      </c>
      <c r="K7">
        <f>(INDEX(Cooper_pop_2030_2050!D:D, MATCH($A7, Cooper_pop_2030_2050!B:B, 0)))+0.3*((INDEX(Cooper_pop_2030_2050!E:E, MATCH($A7, Cooper_pop_2030_2050!B:B, 0)))-(INDEX(Cooper_pop_2030_2050!D:D, MATCH($A7, Cooper_pop_2030_2050!B:B, 0))))</f>
        <v>6586072.3653976237</v>
      </c>
      <c r="L7">
        <f>(INDEX(Cooper_pop_2030_2050!D:D, MATCH($A7, Cooper_pop_2030_2050!B:B, 0)))+0.4*((INDEX(Cooper_pop_2030_2050!E:E, MATCH($A7, Cooper_pop_2030_2050!B:B, 0)))-(INDEX(Cooper_pop_2030_2050!D:D, MATCH($A7, Cooper_pop_2030_2050!B:B, 0))))</f>
        <v>6652359.3494414799</v>
      </c>
      <c r="M7">
        <f>(INDEX(Cooper_pop_2030_2050!D:D, MATCH($A7, Cooper_pop_2030_2050!B:B, 0)))+0.5*((INDEX(Cooper_pop_2030_2050!E:E, MATCH($A7, Cooper_pop_2030_2050!B:B, 0)))-(INDEX(Cooper_pop_2030_2050!D:D, MATCH($A7, Cooper_pop_2030_2050!B:B, 0))))</f>
        <v>6718646.3334853351</v>
      </c>
      <c r="N7">
        <f>(INDEX(Cooper_pop_2030_2050!D:D, MATCH($A7, Cooper_pop_2030_2050!B:B, 0)))+0.6*((INDEX(Cooper_pop_2030_2050!E:E, MATCH($A7, Cooper_pop_2030_2050!B:B, 0)))-(INDEX(Cooper_pop_2030_2050!D:D, MATCH($A7, Cooper_pop_2030_2050!B:B, 0))))</f>
        <v>6784933.3175291903</v>
      </c>
      <c r="O7">
        <f>(INDEX(Cooper_pop_2030_2050!D:D, MATCH($A7, Cooper_pop_2030_2050!B:B, 0)))+0.7*((INDEX(Cooper_pop_2030_2050!E:E, MATCH($A7, Cooper_pop_2030_2050!B:B, 0)))-(INDEX(Cooper_pop_2030_2050!D:D, MATCH($A7, Cooper_pop_2030_2050!B:B, 0))))</f>
        <v>6851220.3015730465</v>
      </c>
      <c r="P7">
        <f>(INDEX(Cooper_pop_2030_2050!D:D, MATCH($A7, Cooper_pop_2030_2050!B:B, 0)))+0.8*((INDEX(Cooper_pop_2030_2050!E:E, MATCH($A7, Cooper_pop_2030_2050!B:B, 0)))-(INDEX(Cooper_pop_2030_2050!D:D, MATCH($A7, Cooper_pop_2030_2050!B:B, 0))))</f>
        <v>6917507.2856169017</v>
      </c>
      <c r="Q7">
        <f>(INDEX(Cooper_pop_2030_2050!D:D, MATCH($A7, Cooper_pop_2030_2050!B:B, 0)))+0.9*((INDEX(Cooper_pop_2030_2050!E:E, MATCH($A7, Cooper_pop_2030_2050!B:B, 0)))-(INDEX(Cooper_pop_2030_2050!D:D, MATCH($A7, Cooper_pop_2030_2050!B:B, 0))))</f>
        <v>6983794.2696607579</v>
      </c>
      <c r="R7">
        <f>INDEX(Cooper_pop_2030_2050!E:E, MATCH($A7, Cooper_pop_2030_2050!B:B, 0))</f>
        <v>7050081.2537046131</v>
      </c>
      <c r="S7">
        <f>(INDEX(Cooper_pop_2030_2050!E:E, MATCH($A7, Cooper_pop_2030_2050!B:B, 0)))+0.1*((INDEX(Cooper_pop_2030_2050!F:F, MATCH($A7, Cooper_pop_2030_2050!B:B, 0)))-(INDEX(Cooper_pop_2030_2050!E:E, MATCH($A7, Cooper_pop_2030_2050!B:B, 0))))</f>
        <v>7114128.9853758961</v>
      </c>
      <c r="T7">
        <f>(INDEX(Cooper_pop_2030_2050!E:E, MATCH($A7, Cooper_pop_2030_2050!B:B, 0)))+0.2*((INDEX(Cooper_pop_2030_2050!F:F, MATCH($A7, Cooper_pop_2030_2050!B:B, 0)))-(INDEX(Cooper_pop_2030_2050!E:E, MATCH($A7, Cooper_pop_2030_2050!B:B, 0))))</f>
        <v>7178176.7170471791</v>
      </c>
      <c r="U7">
        <f>(INDEX(Cooper_pop_2030_2050!E:E, MATCH($A7, Cooper_pop_2030_2050!B:B, 0)))+0.3*((INDEX(Cooper_pop_2030_2050!F:F, MATCH($A7, Cooper_pop_2030_2050!B:B, 0)))-(INDEX(Cooper_pop_2030_2050!E:E, MATCH($A7, Cooper_pop_2030_2050!B:B, 0))))</f>
        <v>7242224.4487184612</v>
      </c>
      <c r="V7">
        <f>(INDEX(Cooper_pop_2030_2050!E:E, MATCH($A7, Cooper_pop_2030_2050!B:B, 0)))+0.4*((INDEX(Cooper_pop_2030_2050!F:F, MATCH($A7, Cooper_pop_2030_2050!B:B, 0)))-(INDEX(Cooper_pop_2030_2050!E:E, MATCH($A7, Cooper_pop_2030_2050!B:B, 0))))</f>
        <v>7306272.1803897442</v>
      </c>
      <c r="W7">
        <f>(INDEX(Cooper_pop_2030_2050!E:E, MATCH($A7, Cooper_pop_2030_2050!B:B, 0)))+0.5*((INDEX(Cooper_pop_2030_2050!F:F, MATCH($A7, Cooper_pop_2030_2050!B:B, 0)))-(INDEX(Cooper_pop_2030_2050!E:E, MATCH($A7, Cooper_pop_2030_2050!B:B, 0))))</f>
        <v>7370319.9120610273</v>
      </c>
      <c r="X7">
        <f>(INDEX(Cooper_pop_2030_2050!E:E, MATCH($A7, Cooper_pop_2030_2050!B:B, 0)))+0.6*((INDEX(Cooper_pop_2030_2050!F:F, MATCH($A7, Cooper_pop_2030_2050!B:B, 0)))-(INDEX(Cooper_pop_2030_2050!E:E, MATCH($A7, Cooper_pop_2030_2050!B:B, 0))))</f>
        <v>7434367.6437323103</v>
      </c>
      <c r="Y7">
        <f>(INDEX(Cooper_pop_2030_2050!E:E, MATCH($A7, Cooper_pop_2030_2050!B:B, 0)))+0.7*((INDEX(Cooper_pop_2030_2050!F:F, MATCH($A7, Cooper_pop_2030_2050!B:B, 0)))-(INDEX(Cooper_pop_2030_2050!E:E, MATCH($A7, Cooper_pop_2030_2050!B:B, 0))))</f>
        <v>7498415.3754035933</v>
      </c>
      <c r="Z7">
        <f>(INDEX(Cooper_pop_2030_2050!E:E, MATCH($A7, Cooper_pop_2030_2050!B:B, 0)))+0.8*((INDEX(Cooper_pop_2030_2050!F:F, MATCH($A7, Cooper_pop_2030_2050!B:B, 0)))-(INDEX(Cooper_pop_2030_2050!E:E, MATCH($A7, Cooper_pop_2030_2050!B:B, 0))))</f>
        <v>7562463.1070748754</v>
      </c>
      <c r="AA7">
        <f>(INDEX(Cooper_pop_2030_2050!E:E, MATCH($A7, Cooper_pop_2030_2050!B:B, 0)))+0.9*((INDEX(Cooper_pop_2030_2050!F:F, MATCH($A7, Cooper_pop_2030_2050!B:B, 0)))-(INDEX(Cooper_pop_2030_2050!E:E, MATCH($A7, Cooper_pop_2030_2050!B:B, 0))))</f>
        <v>7626510.8387461584</v>
      </c>
      <c r="AB7">
        <f>INDEX(Cooper_pop_2030_2050!F:F, MATCH($A7, Cooper_pop_2030_2050!B:B, 0))</f>
        <v>7690558.5704174414</v>
      </c>
    </row>
    <row r="8" spans="1:28">
      <c r="A8" t="s">
        <v>2891</v>
      </c>
      <c r="B8">
        <f>IFERROR(INDEX(Census_pop_2020_2025!G:G, MATCH("."&amp;$A8, Census_pop_2020_2025!A:A, 0)),INDEX(Census_pop_2020_2025!G:G, MATCH($A8, Census_pop_2020_2025!A:A, 0)))</f>
        <v>3674449</v>
      </c>
      <c r="C8">
        <f>IFERROR(INDEX(Census_pop_2020_2025!H:H, MATCH("."&amp;$A8, Census_pop_2020_2025!A:A, 0)),INDEX(Census_pop_2020_2025!H:H, MATCH($A8, Census_pop_2020_2025!A:A, 0)))</f>
        <v>3688496</v>
      </c>
      <c r="D8">
        <f>(IFERROR(INDEX(Census_pop_2020_2025!H:H, MATCH("."&amp;$A8, Census_pop_2020_2025!A:A, 0)),INDEX(Census_pop_2020_2025!H:H, MATCH($A8, Census_pop_2020_2025!A:A, 0))))+0.2*((INDEX(Cooper_pop_2030_2050!D:D, MATCH($A8, Cooper_pop_2030_2050!B:B, 0)))-(IFERROR(INDEX(Census_pop_2020_2025!H:H, MATCH("."&amp;$A8, Census_pop_2020_2025!A:A, 0)),INDEX(Census_pop_2020_2025!H:H, MATCH($A8, Census_pop_2020_2025!A:A, 0)))))</f>
        <v>3676791.0272770855</v>
      </c>
      <c r="E8">
        <f>(IFERROR(INDEX(Census_pop_2020_2025!H:H, MATCH("."&amp;$A8, Census_pop_2020_2025!A:A, 0)),INDEX(Census_pop_2020_2025!H:H, MATCH($A8, Census_pop_2020_2025!A:A, 0))))+0.4*((INDEX(Cooper_pop_2030_2050!D:D, MATCH($A8, Cooper_pop_2030_2050!B:B, 0)))-(IFERROR(INDEX(Census_pop_2020_2025!H:H, MATCH("."&amp;$A8, Census_pop_2020_2025!A:A, 0)),INDEX(Census_pop_2020_2025!H:H, MATCH($A8, Census_pop_2020_2025!A:A, 0)))))</f>
        <v>3665086.0545541709</v>
      </c>
      <c r="F8">
        <f>(IFERROR(INDEX(Census_pop_2020_2025!H:H, MATCH("."&amp;$A8, Census_pop_2020_2025!A:A, 0)),INDEX(Census_pop_2020_2025!H:H, MATCH($A8, Census_pop_2020_2025!A:A, 0))))+0.6*((INDEX(Cooper_pop_2030_2050!D:D, MATCH($A8, Cooper_pop_2030_2050!B:B, 0)))-(IFERROR(INDEX(Census_pop_2020_2025!H:H, MATCH("."&amp;$A8, Census_pop_2020_2025!A:A, 0)),INDEX(Census_pop_2020_2025!H:H, MATCH($A8, Census_pop_2020_2025!A:A, 0)))))</f>
        <v>3653381.0818312569</v>
      </c>
      <c r="G8">
        <f>(IFERROR(INDEX(Census_pop_2020_2025!H:H, MATCH("."&amp;$A8, Census_pop_2020_2025!A:A, 0)),INDEX(Census_pop_2020_2025!H:H, MATCH($A8, Census_pop_2020_2025!A:A, 0))))+0.8*((INDEX(Cooper_pop_2030_2050!D:D, MATCH($A8, Cooper_pop_2030_2050!B:B, 0)))-(IFERROR(INDEX(Census_pop_2020_2025!H:H, MATCH("."&amp;$A8, Census_pop_2020_2025!A:A, 0)),INDEX(Census_pop_2020_2025!H:H, MATCH($A8, Census_pop_2020_2025!A:A, 0)))))</f>
        <v>3641676.1091083423</v>
      </c>
      <c r="H8">
        <f>INDEX(Cooper_pop_2030_2050!D:D, MATCH($A8, Cooper_pop_2030_2050!B:B, 0))</f>
        <v>3629971.1363854278</v>
      </c>
      <c r="I8">
        <f>(INDEX(Cooper_pop_2030_2050!D:D, MATCH($A8, Cooper_pop_2030_2050!B:B, 0)))+0.1*((INDEX(Cooper_pop_2030_2050!E:E, MATCH($A8, Cooper_pop_2030_2050!B:B, 0)))-(INDEX(Cooper_pop_2030_2050!D:D, MATCH($A8, Cooper_pop_2030_2050!B:B, 0))))</f>
        <v>3619086.9257206195</v>
      </c>
      <c r="J8">
        <f>(INDEX(Cooper_pop_2030_2050!D:D, MATCH($A8, Cooper_pop_2030_2050!B:B, 0)))+0.2*((INDEX(Cooper_pop_2030_2050!E:E, MATCH($A8, Cooper_pop_2030_2050!B:B, 0)))-(INDEX(Cooper_pop_2030_2050!D:D, MATCH($A8, Cooper_pop_2030_2050!B:B, 0))))</f>
        <v>3608202.7150558112</v>
      </c>
      <c r="K8">
        <f>(INDEX(Cooper_pop_2030_2050!D:D, MATCH($A8, Cooper_pop_2030_2050!B:B, 0)))+0.3*((INDEX(Cooper_pop_2030_2050!E:E, MATCH($A8, Cooper_pop_2030_2050!B:B, 0)))-(INDEX(Cooper_pop_2030_2050!D:D, MATCH($A8, Cooper_pop_2030_2050!B:B, 0))))</f>
        <v>3597318.5043910029</v>
      </c>
      <c r="L8">
        <f>(INDEX(Cooper_pop_2030_2050!D:D, MATCH($A8, Cooper_pop_2030_2050!B:B, 0)))+0.4*((INDEX(Cooper_pop_2030_2050!E:E, MATCH($A8, Cooper_pop_2030_2050!B:B, 0)))-(INDEX(Cooper_pop_2030_2050!D:D, MATCH($A8, Cooper_pop_2030_2050!B:B, 0))))</f>
        <v>3586434.2937261946</v>
      </c>
      <c r="M8">
        <f>(INDEX(Cooper_pop_2030_2050!D:D, MATCH($A8, Cooper_pop_2030_2050!B:B, 0)))+0.5*((INDEX(Cooper_pop_2030_2050!E:E, MATCH($A8, Cooper_pop_2030_2050!B:B, 0)))-(INDEX(Cooper_pop_2030_2050!D:D, MATCH($A8, Cooper_pop_2030_2050!B:B, 0))))</f>
        <v>3575550.0830613864</v>
      </c>
      <c r="N8">
        <f>(INDEX(Cooper_pop_2030_2050!D:D, MATCH($A8, Cooper_pop_2030_2050!B:B, 0)))+0.6*((INDEX(Cooper_pop_2030_2050!E:E, MATCH($A8, Cooper_pop_2030_2050!B:B, 0)))-(INDEX(Cooper_pop_2030_2050!D:D, MATCH($A8, Cooper_pop_2030_2050!B:B, 0))))</f>
        <v>3564665.8723965781</v>
      </c>
      <c r="O8">
        <f>(INDEX(Cooper_pop_2030_2050!D:D, MATCH($A8, Cooper_pop_2030_2050!B:B, 0)))+0.7*((INDEX(Cooper_pop_2030_2050!E:E, MATCH($A8, Cooper_pop_2030_2050!B:B, 0)))-(INDEX(Cooper_pop_2030_2050!D:D, MATCH($A8, Cooper_pop_2030_2050!B:B, 0))))</f>
        <v>3553781.6617317698</v>
      </c>
      <c r="P8">
        <f>(INDEX(Cooper_pop_2030_2050!D:D, MATCH($A8, Cooper_pop_2030_2050!B:B, 0)))+0.8*((INDEX(Cooper_pop_2030_2050!E:E, MATCH($A8, Cooper_pop_2030_2050!B:B, 0)))-(INDEX(Cooper_pop_2030_2050!D:D, MATCH($A8, Cooper_pop_2030_2050!B:B, 0))))</f>
        <v>3542897.4510669615</v>
      </c>
      <c r="Q8">
        <f>(INDEX(Cooper_pop_2030_2050!D:D, MATCH($A8, Cooper_pop_2030_2050!B:B, 0)))+0.9*((INDEX(Cooper_pop_2030_2050!E:E, MATCH($A8, Cooper_pop_2030_2050!B:B, 0)))-(INDEX(Cooper_pop_2030_2050!D:D, MATCH($A8, Cooper_pop_2030_2050!B:B, 0))))</f>
        <v>3532013.2404021532</v>
      </c>
      <c r="R8">
        <f>INDEX(Cooper_pop_2030_2050!E:E, MATCH($A8, Cooper_pop_2030_2050!B:B, 0))</f>
        <v>3521129.0297373449</v>
      </c>
      <c r="S8">
        <f>(INDEX(Cooper_pop_2030_2050!E:E, MATCH($A8, Cooper_pop_2030_2050!B:B, 0)))+0.1*((INDEX(Cooper_pop_2030_2050!F:F, MATCH($A8, Cooper_pop_2030_2050!B:B, 0)))-(INDEX(Cooper_pop_2030_2050!E:E, MATCH($A8, Cooper_pop_2030_2050!B:B, 0))))</f>
        <v>3506568.8674779176</v>
      </c>
      <c r="T8">
        <f>(INDEX(Cooper_pop_2030_2050!E:E, MATCH($A8, Cooper_pop_2030_2050!B:B, 0)))+0.2*((INDEX(Cooper_pop_2030_2050!F:F, MATCH($A8, Cooper_pop_2030_2050!B:B, 0)))-(INDEX(Cooper_pop_2030_2050!E:E, MATCH($A8, Cooper_pop_2030_2050!B:B, 0))))</f>
        <v>3492008.7052184902</v>
      </c>
      <c r="U8">
        <f>(INDEX(Cooper_pop_2030_2050!E:E, MATCH($A8, Cooper_pop_2030_2050!B:B, 0)))+0.3*((INDEX(Cooper_pop_2030_2050!F:F, MATCH($A8, Cooper_pop_2030_2050!B:B, 0)))-(INDEX(Cooper_pop_2030_2050!E:E, MATCH($A8, Cooper_pop_2030_2050!B:B, 0))))</f>
        <v>3477448.5429590633</v>
      </c>
      <c r="V8">
        <f>(INDEX(Cooper_pop_2030_2050!E:E, MATCH($A8, Cooper_pop_2030_2050!B:B, 0)))+0.4*((INDEX(Cooper_pop_2030_2050!F:F, MATCH($A8, Cooper_pop_2030_2050!B:B, 0)))-(INDEX(Cooper_pop_2030_2050!E:E, MATCH($A8, Cooper_pop_2030_2050!B:B, 0))))</f>
        <v>3462888.3806996359</v>
      </c>
      <c r="W8">
        <f>(INDEX(Cooper_pop_2030_2050!E:E, MATCH($A8, Cooper_pop_2030_2050!B:B, 0)))+0.5*((INDEX(Cooper_pop_2030_2050!F:F, MATCH($A8, Cooper_pop_2030_2050!B:B, 0)))-(INDEX(Cooper_pop_2030_2050!E:E, MATCH($A8, Cooper_pop_2030_2050!B:B, 0))))</f>
        <v>3448328.2184402086</v>
      </c>
      <c r="X8">
        <f>(INDEX(Cooper_pop_2030_2050!E:E, MATCH($A8, Cooper_pop_2030_2050!B:B, 0)))+0.6*((INDEX(Cooper_pop_2030_2050!F:F, MATCH($A8, Cooper_pop_2030_2050!B:B, 0)))-(INDEX(Cooper_pop_2030_2050!E:E, MATCH($A8, Cooper_pop_2030_2050!B:B, 0))))</f>
        <v>3433768.0561807812</v>
      </c>
      <c r="Y8">
        <f>(INDEX(Cooper_pop_2030_2050!E:E, MATCH($A8, Cooper_pop_2030_2050!B:B, 0)))+0.7*((INDEX(Cooper_pop_2030_2050!F:F, MATCH($A8, Cooper_pop_2030_2050!B:B, 0)))-(INDEX(Cooper_pop_2030_2050!E:E, MATCH($A8, Cooper_pop_2030_2050!B:B, 0))))</f>
        <v>3419207.8939213539</v>
      </c>
      <c r="Z8">
        <f>(INDEX(Cooper_pop_2030_2050!E:E, MATCH($A8, Cooper_pop_2030_2050!B:B, 0)))+0.8*((INDEX(Cooper_pop_2030_2050!F:F, MATCH($A8, Cooper_pop_2030_2050!B:B, 0)))-(INDEX(Cooper_pop_2030_2050!E:E, MATCH($A8, Cooper_pop_2030_2050!B:B, 0))))</f>
        <v>3404647.731661927</v>
      </c>
      <c r="AA8">
        <f>(INDEX(Cooper_pop_2030_2050!E:E, MATCH($A8, Cooper_pop_2030_2050!B:B, 0)))+0.9*((INDEX(Cooper_pop_2030_2050!F:F, MATCH($A8, Cooper_pop_2030_2050!B:B, 0)))-(INDEX(Cooper_pop_2030_2050!E:E, MATCH($A8, Cooper_pop_2030_2050!B:B, 0))))</f>
        <v>3390087.5694024996</v>
      </c>
      <c r="AB8">
        <f>INDEX(Cooper_pop_2030_2050!F:F, MATCH($A8, Cooper_pop_2030_2050!B:B, 0))</f>
        <v>3375527.4071430722</v>
      </c>
    </row>
    <row r="9" spans="1:28">
      <c r="A9" t="s">
        <v>2892</v>
      </c>
      <c r="B9">
        <f>IFERROR(INDEX(Census_pop_2020_2025!G:G, MATCH("."&amp;$A9, Census_pop_2020_2025!A:A, 0)),INDEX(Census_pop_2020_2025!G:G, MATCH($A9, Census_pop_2020_2025!A:A, 0)))</f>
        <v>1050123</v>
      </c>
      <c r="C9">
        <f>IFERROR(INDEX(Census_pop_2020_2025!H:H, MATCH("."&amp;$A9, Census_pop_2020_2025!A:A, 0)),INDEX(Census_pop_2020_2025!H:H, MATCH($A9, Census_pop_2020_2025!A:A, 0)))</f>
        <v>1059952</v>
      </c>
      <c r="D9">
        <f>(IFERROR(INDEX(Census_pop_2020_2025!H:H, MATCH("."&amp;$A9, Census_pop_2020_2025!A:A, 0)),INDEX(Census_pop_2020_2025!H:H, MATCH($A9, Census_pop_2020_2025!A:A, 0))))+0.2*((INDEX(Cooper_pop_2030_2050!D:D, MATCH($A9, Cooper_pop_2030_2050!B:B, 0)))-(IFERROR(INDEX(Census_pop_2020_2025!H:H, MATCH("."&amp;$A9, Census_pop_2020_2025!A:A, 0)),INDEX(Census_pop_2020_2025!H:H, MATCH($A9, Census_pop_2020_2025!A:A, 0)))))</f>
        <v>1060696.1951566597</v>
      </c>
      <c r="E9">
        <f>(IFERROR(INDEX(Census_pop_2020_2025!H:H, MATCH("."&amp;$A9, Census_pop_2020_2025!A:A, 0)),INDEX(Census_pop_2020_2025!H:H, MATCH($A9, Census_pop_2020_2025!A:A, 0))))+0.4*((INDEX(Cooper_pop_2030_2050!D:D, MATCH($A9, Cooper_pop_2030_2050!B:B, 0)))-(IFERROR(INDEX(Census_pop_2020_2025!H:H, MATCH("."&amp;$A9, Census_pop_2020_2025!A:A, 0)),INDEX(Census_pop_2020_2025!H:H, MATCH($A9, Census_pop_2020_2025!A:A, 0)))))</f>
        <v>1061440.3903133192</v>
      </c>
      <c r="F9">
        <f>(IFERROR(INDEX(Census_pop_2020_2025!H:H, MATCH("."&amp;$A9, Census_pop_2020_2025!A:A, 0)),INDEX(Census_pop_2020_2025!H:H, MATCH($A9, Census_pop_2020_2025!A:A, 0))))+0.6*((INDEX(Cooper_pop_2030_2050!D:D, MATCH($A9, Cooper_pop_2030_2050!B:B, 0)))-(IFERROR(INDEX(Census_pop_2020_2025!H:H, MATCH("."&amp;$A9, Census_pop_2020_2025!A:A, 0)),INDEX(Census_pop_2020_2025!H:H, MATCH($A9, Census_pop_2020_2025!A:A, 0)))))</f>
        <v>1062184.5854699789</v>
      </c>
      <c r="G9">
        <f>(IFERROR(INDEX(Census_pop_2020_2025!H:H, MATCH("."&amp;$A9, Census_pop_2020_2025!A:A, 0)),INDEX(Census_pop_2020_2025!H:H, MATCH($A9, Census_pop_2020_2025!A:A, 0))))+0.8*((INDEX(Cooper_pop_2030_2050!D:D, MATCH($A9, Cooper_pop_2030_2050!B:B, 0)))-(IFERROR(INDEX(Census_pop_2020_2025!H:H, MATCH("."&amp;$A9, Census_pop_2020_2025!A:A, 0)),INDEX(Census_pop_2020_2025!H:H, MATCH($A9, Census_pop_2020_2025!A:A, 0)))))</f>
        <v>1062928.7806266383</v>
      </c>
      <c r="H9">
        <f>INDEX(Cooper_pop_2030_2050!D:D, MATCH($A9, Cooper_pop_2030_2050!B:B, 0))</f>
        <v>1063672.975783298</v>
      </c>
      <c r="I9">
        <f>(INDEX(Cooper_pop_2030_2050!D:D, MATCH($A9, Cooper_pop_2030_2050!B:B, 0)))+0.1*((INDEX(Cooper_pop_2030_2050!E:E, MATCH($A9, Cooper_pop_2030_2050!B:B, 0)))-(INDEX(Cooper_pop_2030_2050!D:D, MATCH($A9, Cooper_pop_2030_2050!B:B, 0))))</f>
        <v>1070051.9570111998</v>
      </c>
      <c r="J9">
        <f>(INDEX(Cooper_pop_2030_2050!D:D, MATCH($A9, Cooper_pop_2030_2050!B:B, 0)))+0.2*((INDEX(Cooper_pop_2030_2050!E:E, MATCH($A9, Cooper_pop_2030_2050!B:B, 0)))-(INDEX(Cooper_pop_2030_2050!D:D, MATCH($A9, Cooper_pop_2030_2050!B:B, 0))))</f>
        <v>1076430.9382391016</v>
      </c>
      <c r="K9">
        <f>(INDEX(Cooper_pop_2030_2050!D:D, MATCH($A9, Cooper_pop_2030_2050!B:B, 0)))+0.3*((INDEX(Cooper_pop_2030_2050!E:E, MATCH($A9, Cooper_pop_2030_2050!B:B, 0)))-(INDEX(Cooper_pop_2030_2050!D:D, MATCH($A9, Cooper_pop_2030_2050!B:B, 0))))</f>
        <v>1082809.9194670033</v>
      </c>
      <c r="L9">
        <f>(INDEX(Cooper_pop_2030_2050!D:D, MATCH($A9, Cooper_pop_2030_2050!B:B, 0)))+0.4*((INDEX(Cooper_pop_2030_2050!E:E, MATCH($A9, Cooper_pop_2030_2050!B:B, 0)))-(INDEX(Cooper_pop_2030_2050!D:D, MATCH($A9, Cooper_pop_2030_2050!B:B, 0))))</f>
        <v>1089188.9006949051</v>
      </c>
      <c r="M9">
        <f>(INDEX(Cooper_pop_2030_2050!D:D, MATCH($A9, Cooper_pop_2030_2050!B:B, 0)))+0.5*((INDEX(Cooper_pop_2030_2050!E:E, MATCH($A9, Cooper_pop_2030_2050!B:B, 0)))-(INDEX(Cooper_pop_2030_2050!D:D, MATCH($A9, Cooper_pop_2030_2050!B:B, 0))))</f>
        <v>1095567.8819228071</v>
      </c>
      <c r="N9">
        <f>(INDEX(Cooper_pop_2030_2050!D:D, MATCH($A9, Cooper_pop_2030_2050!B:B, 0)))+0.6*((INDEX(Cooper_pop_2030_2050!E:E, MATCH($A9, Cooper_pop_2030_2050!B:B, 0)))-(INDEX(Cooper_pop_2030_2050!D:D, MATCH($A9, Cooper_pop_2030_2050!B:B, 0))))</f>
        <v>1101946.8631507088</v>
      </c>
      <c r="O9">
        <f>(INDEX(Cooper_pop_2030_2050!D:D, MATCH($A9, Cooper_pop_2030_2050!B:B, 0)))+0.7*((INDEX(Cooper_pop_2030_2050!E:E, MATCH($A9, Cooper_pop_2030_2050!B:B, 0)))-(INDEX(Cooper_pop_2030_2050!D:D, MATCH($A9, Cooper_pop_2030_2050!B:B, 0))))</f>
        <v>1108325.8443786106</v>
      </c>
      <c r="P9">
        <f>(INDEX(Cooper_pop_2030_2050!D:D, MATCH($A9, Cooper_pop_2030_2050!B:B, 0)))+0.8*((INDEX(Cooper_pop_2030_2050!E:E, MATCH($A9, Cooper_pop_2030_2050!B:B, 0)))-(INDEX(Cooper_pop_2030_2050!D:D, MATCH($A9, Cooper_pop_2030_2050!B:B, 0))))</f>
        <v>1114704.8256065124</v>
      </c>
      <c r="Q9">
        <f>(INDEX(Cooper_pop_2030_2050!D:D, MATCH($A9, Cooper_pop_2030_2050!B:B, 0)))+0.9*((INDEX(Cooper_pop_2030_2050!E:E, MATCH($A9, Cooper_pop_2030_2050!B:B, 0)))-(INDEX(Cooper_pop_2030_2050!D:D, MATCH($A9, Cooper_pop_2030_2050!B:B, 0))))</f>
        <v>1121083.8068344141</v>
      </c>
      <c r="R9">
        <f>INDEX(Cooper_pop_2030_2050!E:E, MATCH($A9, Cooper_pop_2030_2050!B:B, 0))</f>
        <v>1127462.7880623159</v>
      </c>
      <c r="S9">
        <f>(INDEX(Cooper_pop_2030_2050!E:E, MATCH($A9, Cooper_pop_2030_2050!B:B, 0)))+0.1*((INDEX(Cooper_pop_2030_2050!F:F, MATCH($A9, Cooper_pop_2030_2050!B:B, 0)))-(INDEX(Cooper_pop_2030_2050!E:E, MATCH($A9, Cooper_pop_2030_2050!B:B, 0))))</f>
        <v>1132823.9445614261</v>
      </c>
      <c r="T9">
        <f>(INDEX(Cooper_pop_2030_2050!E:E, MATCH($A9, Cooper_pop_2030_2050!B:B, 0)))+0.2*((INDEX(Cooper_pop_2030_2050!F:F, MATCH($A9, Cooper_pop_2030_2050!B:B, 0)))-(INDEX(Cooper_pop_2030_2050!E:E, MATCH($A9, Cooper_pop_2030_2050!B:B, 0))))</f>
        <v>1138185.1010605362</v>
      </c>
      <c r="U9">
        <f>(INDEX(Cooper_pop_2030_2050!E:E, MATCH($A9, Cooper_pop_2030_2050!B:B, 0)))+0.3*((INDEX(Cooper_pop_2030_2050!F:F, MATCH($A9, Cooper_pop_2030_2050!B:B, 0)))-(INDEX(Cooper_pop_2030_2050!E:E, MATCH($A9, Cooper_pop_2030_2050!B:B, 0))))</f>
        <v>1143546.2575596462</v>
      </c>
      <c r="V9">
        <f>(INDEX(Cooper_pop_2030_2050!E:E, MATCH($A9, Cooper_pop_2030_2050!B:B, 0)))+0.4*((INDEX(Cooper_pop_2030_2050!F:F, MATCH($A9, Cooper_pop_2030_2050!B:B, 0)))-(INDEX(Cooper_pop_2030_2050!E:E, MATCH($A9, Cooper_pop_2030_2050!B:B, 0))))</f>
        <v>1148907.4140587563</v>
      </c>
      <c r="W9">
        <f>(INDEX(Cooper_pop_2030_2050!E:E, MATCH($A9, Cooper_pop_2030_2050!B:B, 0)))+0.5*((INDEX(Cooper_pop_2030_2050!F:F, MATCH($A9, Cooper_pop_2030_2050!B:B, 0)))-(INDEX(Cooper_pop_2030_2050!E:E, MATCH($A9, Cooper_pop_2030_2050!B:B, 0))))</f>
        <v>1154268.5705578665</v>
      </c>
      <c r="X9">
        <f>(INDEX(Cooper_pop_2030_2050!E:E, MATCH($A9, Cooper_pop_2030_2050!B:B, 0)))+0.6*((INDEX(Cooper_pop_2030_2050!F:F, MATCH($A9, Cooper_pop_2030_2050!B:B, 0)))-(INDEX(Cooper_pop_2030_2050!E:E, MATCH($A9, Cooper_pop_2030_2050!B:B, 0))))</f>
        <v>1159629.7270569766</v>
      </c>
      <c r="Y9">
        <f>(INDEX(Cooper_pop_2030_2050!E:E, MATCH($A9, Cooper_pop_2030_2050!B:B, 0)))+0.7*((INDEX(Cooper_pop_2030_2050!F:F, MATCH($A9, Cooper_pop_2030_2050!B:B, 0)))-(INDEX(Cooper_pop_2030_2050!E:E, MATCH($A9, Cooper_pop_2030_2050!B:B, 0))))</f>
        <v>1164990.8835560868</v>
      </c>
      <c r="Z9">
        <f>(INDEX(Cooper_pop_2030_2050!E:E, MATCH($A9, Cooper_pop_2030_2050!B:B, 0)))+0.8*((INDEX(Cooper_pop_2030_2050!F:F, MATCH($A9, Cooper_pop_2030_2050!B:B, 0)))-(INDEX(Cooper_pop_2030_2050!E:E, MATCH($A9, Cooper_pop_2030_2050!B:B, 0))))</f>
        <v>1170352.0400551967</v>
      </c>
      <c r="AA9">
        <f>(INDEX(Cooper_pop_2030_2050!E:E, MATCH($A9, Cooper_pop_2030_2050!B:B, 0)))+0.9*((INDEX(Cooper_pop_2030_2050!F:F, MATCH($A9, Cooper_pop_2030_2050!B:B, 0)))-(INDEX(Cooper_pop_2030_2050!E:E, MATCH($A9, Cooper_pop_2030_2050!B:B, 0))))</f>
        <v>1175713.1965543069</v>
      </c>
      <c r="AB9">
        <f>INDEX(Cooper_pop_2030_2050!F:F, MATCH($A9, Cooper_pop_2030_2050!B:B, 0))</f>
        <v>1181074.3530534171</v>
      </c>
    </row>
    <row r="10" spans="1:28">
      <c r="A10" t="s">
        <v>2893</v>
      </c>
      <c r="B10">
        <f>IFERROR(INDEX(Census_pop_2020_2025!G:G, MATCH("."&amp;$A10, Census_pop_2020_2025!A:A, 0)),INDEX(Census_pop_2020_2025!G:G, MATCH($A10, Census_pop_2020_2025!A:A, 0)))</f>
        <v>691310</v>
      </c>
      <c r="C10">
        <f>IFERROR(INDEX(Census_pop_2020_2025!H:H, MATCH("."&amp;$A10, Census_pop_2020_2025!A:A, 0)),INDEX(Census_pop_2020_2025!H:H, MATCH($A10, Census_pop_2020_2025!A:A, 0)))</f>
        <v>693645</v>
      </c>
      <c r="D10">
        <f>(IFERROR(INDEX(Census_pop_2020_2025!H:H, MATCH("."&amp;$A10, Census_pop_2020_2025!A:A, 0)),INDEX(Census_pop_2020_2025!H:H, MATCH($A10, Census_pop_2020_2025!A:A, 0))))+0.2*((INDEX(Cooper_pop_2030_2050!D:D, MATCH($A10, Cooper_pop_2030_2050!B:B, 0)))-(IFERROR(INDEX(Census_pop_2020_2025!H:H, MATCH("."&amp;$A10, Census_pop_2020_2025!A:A, 0)),INDEX(Census_pop_2020_2025!H:H, MATCH($A10, Census_pop_2020_2025!A:A, 0)))))</f>
        <v>707280.06979839562</v>
      </c>
      <c r="E10">
        <f>(IFERROR(INDEX(Census_pop_2020_2025!H:H, MATCH("."&amp;$A10, Census_pop_2020_2025!A:A, 0)),INDEX(Census_pop_2020_2025!H:H, MATCH($A10, Census_pop_2020_2025!A:A, 0))))+0.4*((INDEX(Cooper_pop_2030_2050!D:D, MATCH($A10, Cooper_pop_2030_2050!B:B, 0)))-(IFERROR(INDEX(Census_pop_2020_2025!H:H, MATCH("."&amp;$A10, Census_pop_2020_2025!A:A, 0)),INDEX(Census_pop_2020_2025!H:H, MATCH($A10, Census_pop_2020_2025!A:A, 0)))))</f>
        <v>720915.13959679124</v>
      </c>
      <c r="F10">
        <f>(IFERROR(INDEX(Census_pop_2020_2025!H:H, MATCH("."&amp;$A10, Census_pop_2020_2025!A:A, 0)),INDEX(Census_pop_2020_2025!H:H, MATCH($A10, Census_pop_2020_2025!A:A, 0))))+0.6*((INDEX(Cooper_pop_2030_2050!D:D, MATCH($A10, Cooper_pop_2030_2050!B:B, 0)))-(IFERROR(INDEX(Census_pop_2020_2025!H:H, MATCH("."&amp;$A10, Census_pop_2020_2025!A:A, 0)),INDEX(Census_pop_2020_2025!H:H, MATCH($A10, Census_pop_2020_2025!A:A, 0)))))</f>
        <v>734550.20939518674</v>
      </c>
      <c r="G10">
        <f>(IFERROR(INDEX(Census_pop_2020_2025!H:H, MATCH("."&amp;$A10, Census_pop_2020_2025!A:A, 0)),INDEX(Census_pop_2020_2025!H:H, MATCH($A10, Census_pop_2020_2025!A:A, 0))))+0.8*((INDEX(Cooper_pop_2030_2050!D:D, MATCH($A10, Cooper_pop_2030_2050!B:B, 0)))-(IFERROR(INDEX(Census_pop_2020_2025!H:H, MATCH("."&amp;$A10, Census_pop_2020_2025!A:A, 0)),INDEX(Census_pop_2020_2025!H:H, MATCH($A10, Census_pop_2020_2025!A:A, 0)))))</f>
        <v>748185.27919358236</v>
      </c>
      <c r="H10">
        <f>INDEX(Cooper_pop_2030_2050!D:D, MATCH($A10, Cooper_pop_2030_2050!B:B, 0))</f>
        <v>761820.34899197798</v>
      </c>
      <c r="I10">
        <f>(INDEX(Cooper_pop_2030_2050!D:D, MATCH($A10, Cooper_pop_2030_2050!B:B, 0)))+0.1*((INDEX(Cooper_pop_2030_2050!E:E, MATCH($A10, Cooper_pop_2030_2050!B:B, 0)))-(INDEX(Cooper_pop_2030_2050!D:D, MATCH($A10, Cooper_pop_2030_2050!B:B, 0))))</f>
        <v>769573.62349266629</v>
      </c>
      <c r="J10">
        <f>(INDEX(Cooper_pop_2030_2050!D:D, MATCH($A10, Cooper_pop_2030_2050!B:B, 0)))+0.2*((INDEX(Cooper_pop_2030_2050!E:E, MATCH($A10, Cooper_pop_2030_2050!B:B, 0)))-(INDEX(Cooper_pop_2030_2050!D:D, MATCH($A10, Cooper_pop_2030_2050!B:B, 0))))</f>
        <v>777326.89799335459</v>
      </c>
      <c r="K10">
        <f>(INDEX(Cooper_pop_2030_2050!D:D, MATCH($A10, Cooper_pop_2030_2050!B:B, 0)))+0.3*((INDEX(Cooper_pop_2030_2050!E:E, MATCH($A10, Cooper_pop_2030_2050!B:B, 0)))-(INDEX(Cooper_pop_2030_2050!D:D, MATCH($A10, Cooper_pop_2030_2050!B:B, 0))))</f>
        <v>785080.1724940429</v>
      </c>
      <c r="L10">
        <f>(INDEX(Cooper_pop_2030_2050!D:D, MATCH($A10, Cooper_pop_2030_2050!B:B, 0)))+0.4*((INDEX(Cooper_pop_2030_2050!E:E, MATCH($A10, Cooper_pop_2030_2050!B:B, 0)))-(INDEX(Cooper_pop_2030_2050!D:D, MATCH($A10, Cooper_pop_2030_2050!B:B, 0))))</f>
        <v>792833.4469947312</v>
      </c>
      <c r="M10">
        <f>(INDEX(Cooper_pop_2030_2050!D:D, MATCH($A10, Cooper_pop_2030_2050!B:B, 0)))+0.5*((INDEX(Cooper_pop_2030_2050!E:E, MATCH($A10, Cooper_pop_2030_2050!B:B, 0)))-(INDEX(Cooper_pop_2030_2050!D:D, MATCH($A10, Cooper_pop_2030_2050!B:B, 0))))</f>
        <v>800586.72149541951</v>
      </c>
      <c r="N10">
        <f>(INDEX(Cooper_pop_2030_2050!D:D, MATCH($A10, Cooper_pop_2030_2050!B:B, 0)))+0.6*((INDEX(Cooper_pop_2030_2050!E:E, MATCH($A10, Cooper_pop_2030_2050!B:B, 0)))-(INDEX(Cooper_pop_2030_2050!D:D, MATCH($A10, Cooper_pop_2030_2050!B:B, 0))))</f>
        <v>808339.99599610781</v>
      </c>
      <c r="O10">
        <f>(INDEX(Cooper_pop_2030_2050!D:D, MATCH($A10, Cooper_pop_2030_2050!B:B, 0)))+0.7*((INDEX(Cooper_pop_2030_2050!E:E, MATCH($A10, Cooper_pop_2030_2050!B:B, 0)))-(INDEX(Cooper_pop_2030_2050!D:D, MATCH($A10, Cooper_pop_2030_2050!B:B, 0))))</f>
        <v>816093.27049679612</v>
      </c>
      <c r="P10">
        <f>(INDEX(Cooper_pop_2030_2050!D:D, MATCH($A10, Cooper_pop_2030_2050!B:B, 0)))+0.8*((INDEX(Cooper_pop_2030_2050!E:E, MATCH($A10, Cooper_pop_2030_2050!B:B, 0)))-(INDEX(Cooper_pop_2030_2050!D:D, MATCH($A10, Cooper_pop_2030_2050!B:B, 0))))</f>
        <v>823846.54499748442</v>
      </c>
      <c r="Q10">
        <f>(INDEX(Cooper_pop_2030_2050!D:D, MATCH($A10, Cooper_pop_2030_2050!B:B, 0)))+0.9*((INDEX(Cooper_pop_2030_2050!E:E, MATCH($A10, Cooper_pop_2030_2050!B:B, 0)))-(INDEX(Cooper_pop_2030_2050!D:D, MATCH($A10, Cooper_pop_2030_2050!B:B, 0))))</f>
        <v>831599.81949817273</v>
      </c>
      <c r="R10">
        <f>INDEX(Cooper_pop_2030_2050!E:E, MATCH($A10, Cooper_pop_2030_2050!B:B, 0))</f>
        <v>839353.09399886103</v>
      </c>
      <c r="S10">
        <f>(INDEX(Cooper_pop_2030_2050!E:E, MATCH($A10, Cooper_pop_2030_2050!B:B, 0)))+0.1*((INDEX(Cooper_pop_2030_2050!F:F, MATCH($A10, Cooper_pop_2030_2050!B:B, 0)))-(INDEX(Cooper_pop_2030_2050!E:E, MATCH($A10, Cooper_pop_2030_2050!B:B, 0))))</f>
        <v>846811.79884703713</v>
      </c>
      <c r="T10">
        <f>(INDEX(Cooper_pop_2030_2050!E:E, MATCH($A10, Cooper_pop_2030_2050!B:B, 0)))+0.2*((INDEX(Cooper_pop_2030_2050!F:F, MATCH($A10, Cooper_pop_2030_2050!B:B, 0)))-(INDEX(Cooper_pop_2030_2050!E:E, MATCH($A10, Cooper_pop_2030_2050!B:B, 0))))</f>
        <v>854270.50369521335</v>
      </c>
      <c r="U10">
        <f>(INDEX(Cooper_pop_2030_2050!E:E, MATCH($A10, Cooper_pop_2030_2050!B:B, 0)))+0.3*((INDEX(Cooper_pop_2030_2050!F:F, MATCH($A10, Cooper_pop_2030_2050!B:B, 0)))-(INDEX(Cooper_pop_2030_2050!E:E, MATCH($A10, Cooper_pop_2030_2050!B:B, 0))))</f>
        <v>861729.20854338945</v>
      </c>
      <c r="V10">
        <f>(INDEX(Cooper_pop_2030_2050!E:E, MATCH($A10, Cooper_pop_2030_2050!B:B, 0)))+0.4*((INDEX(Cooper_pop_2030_2050!F:F, MATCH($A10, Cooper_pop_2030_2050!B:B, 0)))-(INDEX(Cooper_pop_2030_2050!E:E, MATCH($A10, Cooper_pop_2030_2050!B:B, 0))))</f>
        <v>869187.91339156567</v>
      </c>
      <c r="W10">
        <f>(INDEX(Cooper_pop_2030_2050!E:E, MATCH($A10, Cooper_pop_2030_2050!B:B, 0)))+0.5*((INDEX(Cooper_pop_2030_2050!F:F, MATCH($A10, Cooper_pop_2030_2050!B:B, 0)))-(INDEX(Cooper_pop_2030_2050!E:E, MATCH($A10, Cooper_pop_2030_2050!B:B, 0))))</f>
        <v>876646.61823974177</v>
      </c>
      <c r="X10">
        <f>(INDEX(Cooper_pop_2030_2050!E:E, MATCH($A10, Cooper_pop_2030_2050!B:B, 0)))+0.6*((INDEX(Cooper_pop_2030_2050!F:F, MATCH($A10, Cooper_pop_2030_2050!B:B, 0)))-(INDEX(Cooper_pop_2030_2050!E:E, MATCH($A10, Cooper_pop_2030_2050!B:B, 0))))</f>
        <v>884105.32308791787</v>
      </c>
      <c r="Y10">
        <f>(INDEX(Cooper_pop_2030_2050!E:E, MATCH($A10, Cooper_pop_2030_2050!B:B, 0)))+0.7*((INDEX(Cooper_pop_2030_2050!F:F, MATCH($A10, Cooper_pop_2030_2050!B:B, 0)))-(INDEX(Cooper_pop_2030_2050!E:E, MATCH($A10, Cooper_pop_2030_2050!B:B, 0))))</f>
        <v>891564.02793609409</v>
      </c>
      <c r="Z10">
        <f>(INDEX(Cooper_pop_2030_2050!E:E, MATCH($A10, Cooper_pop_2030_2050!B:B, 0)))+0.8*((INDEX(Cooper_pop_2030_2050!F:F, MATCH($A10, Cooper_pop_2030_2050!B:B, 0)))-(INDEX(Cooper_pop_2030_2050!E:E, MATCH($A10, Cooper_pop_2030_2050!B:B, 0))))</f>
        <v>899022.73278427019</v>
      </c>
      <c r="AA10">
        <f>(INDEX(Cooper_pop_2030_2050!E:E, MATCH($A10, Cooper_pop_2030_2050!B:B, 0)))+0.9*((INDEX(Cooper_pop_2030_2050!F:F, MATCH($A10, Cooper_pop_2030_2050!B:B, 0)))-(INDEX(Cooper_pop_2030_2050!E:E, MATCH($A10, Cooper_pop_2030_2050!B:B, 0))))</f>
        <v>906481.43763244641</v>
      </c>
      <c r="AB10">
        <f>INDEX(Cooper_pop_2030_2050!F:F, MATCH($A10, Cooper_pop_2030_2050!B:B, 0))</f>
        <v>913940.14248062251</v>
      </c>
    </row>
    <row r="11" spans="1:28">
      <c r="A11" t="s">
        <v>2894</v>
      </c>
      <c r="B11">
        <f>IFERROR(INDEX(Census_pop_2020_2025!G:G, MATCH("."&amp;$A11, Census_pop_2020_2025!A:A, 0)),INDEX(Census_pop_2020_2025!G:G, MATCH($A11, Census_pop_2020_2025!A:A, 0)))</f>
        <v>23265838</v>
      </c>
      <c r="C11">
        <f>IFERROR(INDEX(Census_pop_2020_2025!H:H, MATCH("."&amp;$A11, Census_pop_2020_2025!A:A, 0)),INDEX(Census_pop_2020_2025!H:H, MATCH($A11, Census_pop_2020_2025!A:A, 0)))</f>
        <v>23462518</v>
      </c>
      <c r="D11">
        <f>(IFERROR(INDEX(Census_pop_2020_2025!H:H, MATCH("."&amp;$A11, Census_pop_2020_2025!A:A, 0)),INDEX(Census_pop_2020_2025!H:H, MATCH($A11, Census_pop_2020_2025!A:A, 0))))+0.2*((INDEX(Cooper_pop_2030_2050!D:D, MATCH($A11, Cooper_pop_2030_2050!B:B, 0)))-(IFERROR(INDEX(Census_pop_2020_2025!H:H, MATCH("."&amp;$A11, Census_pop_2020_2025!A:A, 0)),INDEX(Census_pop_2020_2025!H:H, MATCH($A11, Census_pop_2020_2025!A:A, 0)))))</f>
        <v>23528023.63619883</v>
      </c>
      <c r="E11">
        <f>(IFERROR(INDEX(Census_pop_2020_2025!H:H, MATCH("."&amp;$A11, Census_pop_2020_2025!A:A, 0)),INDEX(Census_pop_2020_2025!H:H, MATCH($A11, Census_pop_2020_2025!A:A, 0))))+0.4*((INDEX(Cooper_pop_2030_2050!D:D, MATCH($A11, Cooper_pop_2030_2050!B:B, 0)))-(IFERROR(INDEX(Census_pop_2020_2025!H:H, MATCH("."&amp;$A11, Census_pop_2020_2025!A:A, 0)),INDEX(Census_pop_2020_2025!H:H, MATCH($A11, Census_pop_2020_2025!A:A, 0)))))</f>
        <v>23593529.27239766</v>
      </c>
      <c r="F11">
        <f>(IFERROR(INDEX(Census_pop_2020_2025!H:H, MATCH("."&amp;$A11, Census_pop_2020_2025!A:A, 0)),INDEX(Census_pop_2020_2025!H:H, MATCH($A11, Census_pop_2020_2025!A:A, 0))))+0.6*((INDEX(Cooper_pop_2030_2050!D:D, MATCH($A11, Cooper_pop_2030_2050!B:B, 0)))-(IFERROR(INDEX(Census_pop_2020_2025!H:H, MATCH("."&amp;$A11, Census_pop_2020_2025!A:A, 0)),INDEX(Census_pop_2020_2025!H:H, MATCH($A11, Census_pop_2020_2025!A:A, 0)))))</f>
        <v>23659034.90859649</v>
      </c>
      <c r="G11">
        <f>(IFERROR(INDEX(Census_pop_2020_2025!H:H, MATCH("."&amp;$A11, Census_pop_2020_2025!A:A, 0)),INDEX(Census_pop_2020_2025!H:H, MATCH($A11, Census_pop_2020_2025!A:A, 0))))+0.8*((INDEX(Cooper_pop_2030_2050!D:D, MATCH($A11, Cooper_pop_2030_2050!B:B, 0)))-(IFERROR(INDEX(Census_pop_2020_2025!H:H, MATCH("."&amp;$A11, Census_pop_2020_2025!A:A, 0)),INDEX(Census_pop_2020_2025!H:H, MATCH($A11, Census_pop_2020_2025!A:A, 0)))))</f>
        <v>23724540.544795319</v>
      </c>
      <c r="H11">
        <f>INDEX(Cooper_pop_2030_2050!D:D, MATCH($A11, Cooper_pop_2030_2050!B:B, 0))</f>
        <v>23790046.180994149</v>
      </c>
      <c r="I11">
        <f>(INDEX(Cooper_pop_2030_2050!D:D, MATCH($A11, Cooper_pop_2030_2050!B:B, 0)))+0.1*((INDEX(Cooper_pop_2030_2050!E:E, MATCH($A11, Cooper_pop_2030_2050!B:B, 0)))-(INDEX(Cooper_pop_2030_2050!D:D, MATCH($A11, Cooper_pop_2030_2050!B:B, 0))))</f>
        <v>24031289.835240934</v>
      </c>
      <c r="J11">
        <f>(INDEX(Cooper_pop_2030_2050!D:D, MATCH($A11, Cooper_pop_2030_2050!B:B, 0)))+0.2*((INDEX(Cooper_pop_2030_2050!E:E, MATCH($A11, Cooper_pop_2030_2050!B:B, 0)))-(INDEX(Cooper_pop_2030_2050!D:D, MATCH($A11, Cooper_pop_2030_2050!B:B, 0))))</f>
        <v>24272533.489487719</v>
      </c>
      <c r="K11">
        <f>(INDEX(Cooper_pop_2030_2050!D:D, MATCH($A11, Cooper_pop_2030_2050!B:B, 0)))+0.3*((INDEX(Cooper_pop_2030_2050!E:E, MATCH($A11, Cooper_pop_2030_2050!B:B, 0)))-(INDEX(Cooper_pop_2030_2050!D:D, MATCH($A11, Cooper_pop_2030_2050!B:B, 0))))</f>
        <v>24513777.1437345</v>
      </c>
      <c r="L11">
        <f>(INDEX(Cooper_pop_2030_2050!D:D, MATCH($A11, Cooper_pop_2030_2050!B:B, 0)))+0.4*((INDEX(Cooper_pop_2030_2050!E:E, MATCH($A11, Cooper_pop_2030_2050!B:B, 0)))-(INDEX(Cooper_pop_2030_2050!D:D, MATCH($A11, Cooper_pop_2030_2050!B:B, 0))))</f>
        <v>24755020.797981285</v>
      </c>
      <c r="M11">
        <f>(INDEX(Cooper_pop_2030_2050!D:D, MATCH($A11, Cooper_pop_2030_2050!B:B, 0)))+0.5*((INDEX(Cooper_pop_2030_2050!E:E, MATCH($A11, Cooper_pop_2030_2050!B:B, 0)))-(INDEX(Cooper_pop_2030_2050!D:D, MATCH($A11, Cooper_pop_2030_2050!B:B, 0))))</f>
        <v>24996264.452228069</v>
      </c>
      <c r="N11">
        <f>(INDEX(Cooper_pop_2030_2050!D:D, MATCH($A11, Cooper_pop_2030_2050!B:B, 0)))+0.6*((INDEX(Cooper_pop_2030_2050!E:E, MATCH($A11, Cooper_pop_2030_2050!B:B, 0)))-(INDEX(Cooper_pop_2030_2050!D:D, MATCH($A11, Cooper_pop_2030_2050!B:B, 0))))</f>
        <v>25237508.106474854</v>
      </c>
      <c r="O11">
        <f>(INDEX(Cooper_pop_2030_2050!D:D, MATCH($A11, Cooper_pop_2030_2050!B:B, 0)))+0.7*((INDEX(Cooper_pop_2030_2050!E:E, MATCH($A11, Cooper_pop_2030_2050!B:B, 0)))-(INDEX(Cooper_pop_2030_2050!D:D, MATCH($A11, Cooper_pop_2030_2050!B:B, 0))))</f>
        <v>25478751.760721639</v>
      </c>
      <c r="P11">
        <f>(INDEX(Cooper_pop_2030_2050!D:D, MATCH($A11, Cooper_pop_2030_2050!B:B, 0)))+0.8*((INDEX(Cooper_pop_2030_2050!E:E, MATCH($A11, Cooper_pop_2030_2050!B:B, 0)))-(INDEX(Cooper_pop_2030_2050!D:D, MATCH($A11, Cooper_pop_2030_2050!B:B, 0))))</f>
        <v>25719995.41496842</v>
      </c>
      <c r="Q11">
        <f>(INDEX(Cooper_pop_2030_2050!D:D, MATCH($A11, Cooper_pop_2030_2050!B:B, 0)))+0.9*((INDEX(Cooper_pop_2030_2050!E:E, MATCH($A11, Cooper_pop_2030_2050!B:B, 0)))-(INDEX(Cooper_pop_2030_2050!D:D, MATCH($A11, Cooper_pop_2030_2050!B:B, 0))))</f>
        <v>25961239.069215205</v>
      </c>
      <c r="R11">
        <f>INDEX(Cooper_pop_2030_2050!E:E, MATCH($A11, Cooper_pop_2030_2050!B:B, 0))</f>
        <v>26202482.723461989</v>
      </c>
      <c r="S11">
        <f>(INDEX(Cooper_pop_2030_2050!E:E, MATCH($A11, Cooper_pop_2030_2050!B:B, 0)))+0.1*((INDEX(Cooper_pop_2030_2050!F:F, MATCH($A11, Cooper_pop_2030_2050!B:B, 0)))-(INDEX(Cooper_pop_2030_2050!E:E, MATCH($A11, Cooper_pop_2030_2050!B:B, 0))))</f>
        <v>26434372.433016606</v>
      </c>
      <c r="T11">
        <f>(INDEX(Cooper_pop_2030_2050!E:E, MATCH($A11, Cooper_pop_2030_2050!B:B, 0)))+0.2*((INDEX(Cooper_pop_2030_2050!F:F, MATCH($A11, Cooper_pop_2030_2050!B:B, 0)))-(INDEX(Cooper_pop_2030_2050!E:E, MATCH($A11, Cooper_pop_2030_2050!B:B, 0))))</f>
        <v>26666262.142571226</v>
      </c>
      <c r="U11">
        <f>(INDEX(Cooper_pop_2030_2050!E:E, MATCH($A11, Cooper_pop_2030_2050!B:B, 0)))+0.3*((INDEX(Cooper_pop_2030_2050!F:F, MATCH($A11, Cooper_pop_2030_2050!B:B, 0)))-(INDEX(Cooper_pop_2030_2050!E:E, MATCH($A11, Cooper_pop_2030_2050!B:B, 0))))</f>
        <v>26898151.852125846</v>
      </c>
      <c r="V11">
        <f>(INDEX(Cooper_pop_2030_2050!E:E, MATCH($A11, Cooper_pop_2030_2050!B:B, 0)))+0.4*((INDEX(Cooper_pop_2030_2050!F:F, MATCH($A11, Cooper_pop_2030_2050!B:B, 0)))-(INDEX(Cooper_pop_2030_2050!E:E, MATCH($A11, Cooper_pop_2030_2050!B:B, 0))))</f>
        <v>27130041.561680462</v>
      </c>
      <c r="W11">
        <f>(INDEX(Cooper_pop_2030_2050!E:E, MATCH($A11, Cooper_pop_2030_2050!B:B, 0)))+0.5*((INDEX(Cooper_pop_2030_2050!F:F, MATCH($A11, Cooper_pop_2030_2050!B:B, 0)))-(INDEX(Cooper_pop_2030_2050!E:E, MATCH($A11, Cooper_pop_2030_2050!B:B, 0))))</f>
        <v>27361931.271235079</v>
      </c>
      <c r="X11">
        <f>(INDEX(Cooper_pop_2030_2050!E:E, MATCH($A11, Cooper_pop_2030_2050!B:B, 0)))+0.6*((INDEX(Cooper_pop_2030_2050!F:F, MATCH($A11, Cooper_pop_2030_2050!B:B, 0)))-(INDEX(Cooper_pop_2030_2050!E:E, MATCH($A11, Cooper_pop_2030_2050!B:B, 0))))</f>
        <v>27593820.980789699</v>
      </c>
      <c r="Y11">
        <f>(INDEX(Cooper_pop_2030_2050!E:E, MATCH($A11, Cooper_pop_2030_2050!B:B, 0)))+0.7*((INDEX(Cooper_pop_2030_2050!F:F, MATCH($A11, Cooper_pop_2030_2050!B:B, 0)))-(INDEX(Cooper_pop_2030_2050!E:E, MATCH($A11, Cooper_pop_2030_2050!B:B, 0))))</f>
        <v>27825710.690344319</v>
      </c>
      <c r="Z11">
        <f>(INDEX(Cooper_pop_2030_2050!E:E, MATCH($A11, Cooper_pop_2030_2050!B:B, 0)))+0.8*((INDEX(Cooper_pop_2030_2050!F:F, MATCH($A11, Cooper_pop_2030_2050!B:B, 0)))-(INDEX(Cooper_pop_2030_2050!E:E, MATCH($A11, Cooper_pop_2030_2050!B:B, 0))))</f>
        <v>28057600.399898935</v>
      </c>
      <c r="AA11">
        <f>(INDEX(Cooper_pop_2030_2050!E:E, MATCH($A11, Cooper_pop_2030_2050!B:B, 0)))+0.9*((INDEX(Cooper_pop_2030_2050!F:F, MATCH($A11, Cooper_pop_2030_2050!B:B, 0)))-(INDEX(Cooper_pop_2030_2050!E:E, MATCH($A11, Cooper_pop_2030_2050!B:B, 0))))</f>
        <v>28289490.109453551</v>
      </c>
      <c r="AB11">
        <f>INDEX(Cooper_pop_2030_2050!F:F, MATCH($A11, Cooper_pop_2030_2050!B:B, 0))</f>
        <v>28521379.819008172</v>
      </c>
    </row>
    <row r="12" spans="1:28">
      <c r="A12" t="s">
        <v>2895</v>
      </c>
      <c r="B12">
        <f>IFERROR(INDEX(Census_pop_2020_2025!G:G, MATCH("."&amp;$A12, Census_pop_2020_2025!A:A, 0)),INDEX(Census_pop_2020_2025!G:G, MATCH($A12, Census_pop_2020_2025!A:A, 0)))</f>
        <v>11204208</v>
      </c>
      <c r="C12">
        <f>IFERROR(INDEX(Census_pop_2020_2025!H:H, MATCH("."&amp;$A12, Census_pop_2020_2025!A:A, 0)),INDEX(Census_pop_2020_2025!H:H, MATCH($A12, Census_pop_2020_2025!A:A, 0)))</f>
        <v>11302748</v>
      </c>
      <c r="D12">
        <f>(IFERROR(INDEX(Census_pop_2020_2025!H:H, MATCH("."&amp;$A12, Census_pop_2020_2025!A:A, 0)),INDEX(Census_pop_2020_2025!H:H, MATCH($A12, Census_pop_2020_2025!A:A, 0))))+0.2*((INDEX(Cooper_pop_2030_2050!D:D, MATCH($A12, Cooper_pop_2030_2050!B:B, 0)))-(IFERROR(INDEX(Census_pop_2020_2025!H:H, MATCH("."&amp;$A12, Census_pop_2020_2025!A:A, 0)),INDEX(Census_pop_2020_2025!H:H, MATCH($A12, Census_pop_2020_2025!A:A, 0)))))</f>
        <v>11349047.480826342</v>
      </c>
      <c r="E12">
        <f>(IFERROR(INDEX(Census_pop_2020_2025!H:H, MATCH("."&amp;$A12, Census_pop_2020_2025!A:A, 0)),INDEX(Census_pop_2020_2025!H:H, MATCH($A12, Census_pop_2020_2025!A:A, 0))))+0.4*((INDEX(Cooper_pop_2030_2050!D:D, MATCH($A12, Cooper_pop_2030_2050!B:B, 0)))-(IFERROR(INDEX(Census_pop_2020_2025!H:H, MATCH("."&amp;$A12, Census_pop_2020_2025!A:A, 0)),INDEX(Census_pop_2020_2025!H:H, MATCH($A12, Census_pop_2020_2025!A:A, 0)))))</f>
        <v>11395346.961652685</v>
      </c>
      <c r="F12">
        <f>(IFERROR(INDEX(Census_pop_2020_2025!H:H, MATCH("."&amp;$A12, Census_pop_2020_2025!A:A, 0)),INDEX(Census_pop_2020_2025!H:H, MATCH($A12, Census_pop_2020_2025!A:A, 0))))+0.6*((INDEX(Cooper_pop_2030_2050!D:D, MATCH($A12, Cooper_pop_2030_2050!B:B, 0)))-(IFERROR(INDEX(Census_pop_2020_2025!H:H, MATCH("."&amp;$A12, Census_pop_2020_2025!A:A, 0)),INDEX(Census_pop_2020_2025!H:H, MATCH($A12, Census_pop_2020_2025!A:A, 0)))))</f>
        <v>11441646.442479026</v>
      </c>
      <c r="G12">
        <f>(IFERROR(INDEX(Census_pop_2020_2025!H:H, MATCH("."&amp;$A12, Census_pop_2020_2025!A:A, 0)),INDEX(Census_pop_2020_2025!H:H, MATCH($A12, Census_pop_2020_2025!A:A, 0))))+0.8*((INDEX(Cooper_pop_2030_2050!D:D, MATCH($A12, Cooper_pop_2030_2050!B:B, 0)))-(IFERROR(INDEX(Census_pop_2020_2025!H:H, MATCH("."&amp;$A12, Census_pop_2020_2025!A:A, 0)),INDEX(Census_pop_2020_2025!H:H, MATCH($A12, Census_pop_2020_2025!A:A, 0)))))</f>
        <v>11487945.923305368</v>
      </c>
      <c r="H12">
        <f>INDEX(Cooper_pop_2030_2050!D:D, MATCH($A12, Cooper_pop_2030_2050!B:B, 0))</f>
        <v>11534245.404131711</v>
      </c>
      <c r="I12">
        <f>(INDEX(Cooper_pop_2030_2050!D:D, MATCH($A12, Cooper_pop_2030_2050!B:B, 0)))+0.1*((INDEX(Cooper_pop_2030_2050!E:E, MATCH($A12, Cooper_pop_2030_2050!B:B, 0)))-(INDEX(Cooper_pop_2030_2050!D:D, MATCH($A12, Cooper_pop_2030_2050!B:B, 0))))</f>
        <v>11607027.24516366</v>
      </c>
      <c r="J12">
        <f>(INDEX(Cooper_pop_2030_2050!D:D, MATCH($A12, Cooper_pop_2030_2050!B:B, 0)))+0.2*((INDEX(Cooper_pop_2030_2050!E:E, MATCH($A12, Cooper_pop_2030_2050!B:B, 0)))-(INDEX(Cooper_pop_2030_2050!D:D, MATCH($A12, Cooper_pop_2030_2050!B:B, 0))))</f>
        <v>11679809.08619561</v>
      </c>
      <c r="K12">
        <f>(INDEX(Cooper_pop_2030_2050!D:D, MATCH($A12, Cooper_pop_2030_2050!B:B, 0)))+0.3*((INDEX(Cooper_pop_2030_2050!E:E, MATCH($A12, Cooper_pop_2030_2050!B:B, 0)))-(INDEX(Cooper_pop_2030_2050!D:D, MATCH($A12, Cooper_pop_2030_2050!B:B, 0))))</f>
        <v>11752590.92722756</v>
      </c>
      <c r="L12">
        <f>(INDEX(Cooper_pop_2030_2050!D:D, MATCH($A12, Cooper_pop_2030_2050!B:B, 0)))+0.4*((INDEX(Cooper_pop_2030_2050!E:E, MATCH($A12, Cooper_pop_2030_2050!B:B, 0)))-(INDEX(Cooper_pop_2030_2050!D:D, MATCH($A12, Cooper_pop_2030_2050!B:B, 0))))</f>
        <v>11825372.76825951</v>
      </c>
      <c r="M12">
        <f>(INDEX(Cooper_pop_2030_2050!D:D, MATCH($A12, Cooper_pop_2030_2050!B:B, 0)))+0.5*((INDEX(Cooper_pop_2030_2050!E:E, MATCH($A12, Cooper_pop_2030_2050!B:B, 0)))-(INDEX(Cooper_pop_2030_2050!D:D, MATCH($A12, Cooper_pop_2030_2050!B:B, 0))))</f>
        <v>11898154.60929146</v>
      </c>
      <c r="N12">
        <f>(INDEX(Cooper_pop_2030_2050!D:D, MATCH($A12, Cooper_pop_2030_2050!B:B, 0)))+0.6*((INDEX(Cooper_pop_2030_2050!E:E, MATCH($A12, Cooper_pop_2030_2050!B:B, 0)))-(INDEX(Cooper_pop_2030_2050!D:D, MATCH($A12, Cooper_pop_2030_2050!B:B, 0))))</f>
        <v>11970936.45032341</v>
      </c>
      <c r="O12">
        <f>(INDEX(Cooper_pop_2030_2050!D:D, MATCH($A12, Cooper_pop_2030_2050!B:B, 0)))+0.7*((INDEX(Cooper_pop_2030_2050!E:E, MATCH($A12, Cooper_pop_2030_2050!B:B, 0)))-(INDEX(Cooper_pop_2030_2050!D:D, MATCH($A12, Cooper_pop_2030_2050!B:B, 0))))</f>
        <v>12043718.29135536</v>
      </c>
      <c r="P12">
        <f>(INDEX(Cooper_pop_2030_2050!D:D, MATCH($A12, Cooper_pop_2030_2050!B:B, 0)))+0.8*((INDEX(Cooper_pop_2030_2050!E:E, MATCH($A12, Cooper_pop_2030_2050!B:B, 0)))-(INDEX(Cooper_pop_2030_2050!D:D, MATCH($A12, Cooper_pop_2030_2050!B:B, 0))))</f>
        <v>12116500.13238731</v>
      </c>
      <c r="Q12">
        <f>(INDEX(Cooper_pop_2030_2050!D:D, MATCH($A12, Cooper_pop_2030_2050!B:B, 0)))+0.9*((INDEX(Cooper_pop_2030_2050!E:E, MATCH($A12, Cooper_pop_2030_2050!B:B, 0)))-(INDEX(Cooper_pop_2030_2050!D:D, MATCH($A12, Cooper_pop_2030_2050!B:B, 0))))</f>
        <v>12189281.97341926</v>
      </c>
      <c r="R12">
        <f>INDEX(Cooper_pop_2030_2050!E:E, MATCH($A12, Cooper_pop_2030_2050!B:B, 0))</f>
        <v>12262063.81445121</v>
      </c>
      <c r="S12">
        <f>(INDEX(Cooper_pop_2030_2050!E:E, MATCH($A12, Cooper_pop_2030_2050!B:B, 0)))+0.1*((INDEX(Cooper_pop_2030_2050!F:F, MATCH($A12, Cooper_pop_2030_2050!B:B, 0)))-(INDEX(Cooper_pop_2030_2050!E:E, MATCH($A12, Cooper_pop_2030_2050!B:B, 0))))</f>
        <v>12324163.01133823</v>
      </c>
      <c r="T12">
        <f>(INDEX(Cooper_pop_2030_2050!E:E, MATCH($A12, Cooper_pop_2030_2050!B:B, 0)))+0.2*((INDEX(Cooper_pop_2030_2050!F:F, MATCH($A12, Cooper_pop_2030_2050!B:B, 0)))-(INDEX(Cooper_pop_2030_2050!E:E, MATCH($A12, Cooper_pop_2030_2050!B:B, 0))))</f>
        <v>12386262.208225252</v>
      </c>
      <c r="U12">
        <f>(INDEX(Cooper_pop_2030_2050!E:E, MATCH($A12, Cooper_pop_2030_2050!B:B, 0)))+0.3*((INDEX(Cooper_pop_2030_2050!F:F, MATCH($A12, Cooper_pop_2030_2050!B:B, 0)))-(INDEX(Cooper_pop_2030_2050!E:E, MATCH($A12, Cooper_pop_2030_2050!B:B, 0))))</f>
        <v>12448361.405112274</v>
      </c>
      <c r="V12">
        <f>(INDEX(Cooper_pop_2030_2050!E:E, MATCH($A12, Cooper_pop_2030_2050!B:B, 0)))+0.4*((INDEX(Cooper_pop_2030_2050!F:F, MATCH($A12, Cooper_pop_2030_2050!B:B, 0)))-(INDEX(Cooper_pop_2030_2050!E:E, MATCH($A12, Cooper_pop_2030_2050!B:B, 0))))</f>
        <v>12510460.601999294</v>
      </c>
      <c r="W12">
        <f>(INDEX(Cooper_pop_2030_2050!E:E, MATCH($A12, Cooper_pop_2030_2050!B:B, 0)))+0.5*((INDEX(Cooper_pop_2030_2050!F:F, MATCH($A12, Cooper_pop_2030_2050!B:B, 0)))-(INDEX(Cooper_pop_2030_2050!E:E, MATCH($A12, Cooper_pop_2030_2050!B:B, 0))))</f>
        <v>12572559.798886314</v>
      </c>
      <c r="X12">
        <f>(INDEX(Cooper_pop_2030_2050!E:E, MATCH($A12, Cooper_pop_2030_2050!B:B, 0)))+0.6*((INDEX(Cooper_pop_2030_2050!F:F, MATCH($A12, Cooper_pop_2030_2050!B:B, 0)))-(INDEX(Cooper_pop_2030_2050!E:E, MATCH($A12, Cooper_pop_2030_2050!B:B, 0))))</f>
        <v>12634658.995773336</v>
      </c>
      <c r="Y12">
        <f>(INDEX(Cooper_pop_2030_2050!E:E, MATCH($A12, Cooper_pop_2030_2050!B:B, 0)))+0.7*((INDEX(Cooper_pop_2030_2050!F:F, MATCH($A12, Cooper_pop_2030_2050!B:B, 0)))-(INDEX(Cooper_pop_2030_2050!E:E, MATCH($A12, Cooper_pop_2030_2050!B:B, 0))))</f>
        <v>12696758.192660358</v>
      </c>
      <c r="Z12">
        <f>(INDEX(Cooper_pop_2030_2050!E:E, MATCH($A12, Cooper_pop_2030_2050!B:B, 0)))+0.8*((INDEX(Cooper_pop_2030_2050!F:F, MATCH($A12, Cooper_pop_2030_2050!B:B, 0)))-(INDEX(Cooper_pop_2030_2050!E:E, MATCH($A12, Cooper_pop_2030_2050!B:B, 0))))</f>
        <v>12758857.389547378</v>
      </c>
      <c r="AA12">
        <f>(INDEX(Cooper_pop_2030_2050!E:E, MATCH($A12, Cooper_pop_2030_2050!B:B, 0)))+0.9*((INDEX(Cooper_pop_2030_2050!F:F, MATCH($A12, Cooper_pop_2030_2050!B:B, 0)))-(INDEX(Cooper_pop_2030_2050!E:E, MATCH($A12, Cooper_pop_2030_2050!B:B, 0))))</f>
        <v>12820956.586434398</v>
      </c>
      <c r="AB12">
        <f>INDEX(Cooper_pop_2030_2050!F:F, MATCH($A12, Cooper_pop_2030_2050!B:B, 0))</f>
        <v>12883055.78332142</v>
      </c>
    </row>
    <row r="13" spans="1:28">
      <c r="A13" t="s">
        <v>2897</v>
      </c>
      <c r="B13">
        <f>IFERROR(INDEX(Census_pop_2020_2025!G:G, MATCH("."&amp;$A13, Census_pop_2020_2025!A:A, 0)),INDEX(Census_pop_2020_2025!G:G, MATCH($A13, Census_pop_2020_2025!A:A, 0)))</f>
        <v>2000872</v>
      </c>
      <c r="C13">
        <f>IFERROR(INDEX(Census_pop_2020_2025!H:H, MATCH("."&amp;$A13, Census_pop_2020_2025!A:A, 0)),INDEX(Census_pop_2020_2025!H:H, MATCH($A13, Census_pop_2020_2025!A:A, 0)))</f>
        <v>2029733</v>
      </c>
      <c r="D13">
        <f>(IFERROR(INDEX(Census_pop_2020_2025!H:H, MATCH("."&amp;$A13, Census_pop_2020_2025!A:A, 0)),INDEX(Census_pop_2020_2025!H:H, MATCH($A13, Census_pop_2020_2025!A:A, 0))))+0.2*((INDEX(Cooper_pop_2030_2050!D:D, MATCH($A13, Cooper_pop_2030_2050!B:B, 0)))-(IFERROR(INDEX(Census_pop_2020_2025!H:H, MATCH("."&amp;$A13, Census_pop_2020_2025!A:A, 0)),INDEX(Census_pop_2020_2025!H:H, MATCH($A13, Census_pop_2020_2025!A:A, 0)))))</f>
        <v>2037039.321276973</v>
      </c>
      <c r="E13">
        <f>(IFERROR(INDEX(Census_pop_2020_2025!H:H, MATCH("."&amp;$A13, Census_pop_2020_2025!A:A, 0)),INDEX(Census_pop_2020_2025!H:H, MATCH($A13, Census_pop_2020_2025!A:A, 0))))+0.4*((INDEX(Cooper_pop_2030_2050!D:D, MATCH($A13, Cooper_pop_2030_2050!B:B, 0)))-(IFERROR(INDEX(Census_pop_2020_2025!H:H, MATCH("."&amp;$A13, Census_pop_2020_2025!A:A, 0)),INDEX(Census_pop_2020_2025!H:H, MATCH($A13, Census_pop_2020_2025!A:A, 0)))))</f>
        <v>2044345.642553946</v>
      </c>
      <c r="F13">
        <f>(IFERROR(INDEX(Census_pop_2020_2025!H:H, MATCH("."&amp;$A13, Census_pop_2020_2025!A:A, 0)),INDEX(Census_pop_2020_2025!H:H, MATCH($A13, Census_pop_2020_2025!A:A, 0))))+0.6*((INDEX(Cooper_pop_2030_2050!D:D, MATCH($A13, Cooper_pop_2030_2050!B:B, 0)))-(IFERROR(INDEX(Census_pop_2020_2025!H:H, MATCH("."&amp;$A13, Census_pop_2020_2025!A:A, 0)),INDEX(Census_pop_2020_2025!H:H, MATCH($A13, Census_pop_2020_2025!A:A, 0)))))</f>
        <v>2051651.963830919</v>
      </c>
      <c r="G13">
        <f>(IFERROR(INDEX(Census_pop_2020_2025!H:H, MATCH("."&amp;$A13, Census_pop_2020_2025!A:A, 0)),INDEX(Census_pop_2020_2025!H:H, MATCH($A13, Census_pop_2020_2025!A:A, 0))))+0.8*((INDEX(Cooper_pop_2030_2050!D:D, MATCH($A13, Cooper_pop_2030_2050!B:B, 0)))-(IFERROR(INDEX(Census_pop_2020_2025!H:H, MATCH("."&amp;$A13, Census_pop_2020_2025!A:A, 0)),INDEX(Census_pop_2020_2025!H:H, MATCH($A13, Census_pop_2020_2025!A:A, 0)))))</f>
        <v>2058958.285107892</v>
      </c>
      <c r="H13">
        <f>INDEX(Cooper_pop_2030_2050!D:D, MATCH($A13, Cooper_pop_2030_2050!B:B, 0))</f>
        <v>2066264.606384865</v>
      </c>
      <c r="I13">
        <f>(INDEX(Cooper_pop_2030_2050!D:D, MATCH($A13, Cooper_pop_2030_2050!B:B, 0)))+0.1*((INDEX(Cooper_pop_2030_2050!E:E, MATCH($A13, Cooper_pop_2030_2050!B:B, 0)))-(INDEX(Cooper_pop_2030_2050!D:D, MATCH($A13, Cooper_pop_2030_2050!B:B, 0))))</f>
        <v>2092709.3150645306</v>
      </c>
      <c r="J13">
        <f>(INDEX(Cooper_pop_2030_2050!D:D, MATCH($A13, Cooper_pop_2030_2050!B:B, 0)))+0.2*((INDEX(Cooper_pop_2030_2050!E:E, MATCH($A13, Cooper_pop_2030_2050!B:B, 0)))-(INDEX(Cooper_pop_2030_2050!D:D, MATCH($A13, Cooper_pop_2030_2050!B:B, 0))))</f>
        <v>2119154.0237441962</v>
      </c>
      <c r="K13">
        <f>(INDEX(Cooper_pop_2030_2050!D:D, MATCH($A13, Cooper_pop_2030_2050!B:B, 0)))+0.3*((INDEX(Cooper_pop_2030_2050!E:E, MATCH($A13, Cooper_pop_2030_2050!B:B, 0)))-(INDEX(Cooper_pop_2030_2050!D:D, MATCH($A13, Cooper_pop_2030_2050!B:B, 0))))</f>
        <v>2145598.7324238615</v>
      </c>
      <c r="L13">
        <f>(INDEX(Cooper_pop_2030_2050!D:D, MATCH($A13, Cooper_pop_2030_2050!B:B, 0)))+0.4*((INDEX(Cooper_pop_2030_2050!E:E, MATCH($A13, Cooper_pop_2030_2050!B:B, 0)))-(INDEX(Cooper_pop_2030_2050!D:D, MATCH($A13, Cooper_pop_2030_2050!B:B, 0))))</f>
        <v>2172043.4411035273</v>
      </c>
      <c r="M13">
        <f>(INDEX(Cooper_pop_2030_2050!D:D, MATCH($A13, Cooper_pop_2030_2050!B:B, 0)))+0.5*((INDEX(Cooper_pop_2030_2050!E:E, MATCH($A13, Cooper_pop_2030_2050!B:B, 0)))-(INDEX(Cooper_pop_2030_2050!D:D, MATCH($A13, Cooper_pop_2030_2050!B:B, 0))))</f>
        <v>2198488.1497831931</v>
      </c>
      <c r="N13">
        <f>(INDEX(Cooper_pop_2030_2050!D:D, MATCH($A13, Cooper_pop_2030_2050!B:B, 0)))+0.6*((INDEX(Cooper_pop_2030_2050!E:E, MATCH($A13, Cooper_pop_2030_2050!B:B, 0)))-(INDEX(Cooper_pop_2030_2050!D:D, MATCH($A13, Cooper_pop_2030_2050!B:B, 0))))</f>
        <v>2224932.8584628585</v>
      </c>
      <c r="O13">
        <f>(INDEX(Cooper_pop_2030_2050!D:D, MATCH($A13, Cooper_pop_2030_2050!B:B, 0)))+0.7*((INDEX(Cooper_pop_2030_2050!E:E, MATCH($A13, Cooper_pop_2030_2050!B:B, 0)))-(INDEX(Cooper_pop_2030_2050!D:D, MATCH($A13, Cooper_pop_2030_2050!B:B, 0))))</f>
        <v>2251377.5671425238</v>
      </c>
      <c r="P13">
        <f>(INDEX(Cooper_pop_2030_2050!D:D, MATCH($A13, Cooper_pop_2030_2050!B:B, 0)))+0.8*((INDEX(Cooper_pop_2030_2050!E:E, MATCH($A13, Cooper_pop_2030_2050!B:B, 0)))-(INDEX(Cooper_pop_2030_2050!D:D, MATCH($A13, Cooper_pop_2030_2050!B:B, 0))))</f>
        <v>2277822.2758221896</v>
      </c>
      <c r="Q13">
        <f>(INDEX(Cooper_pop_2030_2050!D:D, MATCH($A13, Cooper_pop_2030_2050!B:B, 0)))+0.9*((INDEX(Cooper_pop_2030_2050!E:E, MATCH($A13, Cooper_pop_2030_2050!B:B, 0)))-(INDEX(Cooper_pop_2030_2050!D:D, MATCH($A13, Cooper_pop_2030_2050!B:B, 0))))</f>
        <v>2304266.9845018554</v>
      </c>
      <c r="R13">
        <f>INDEX(Cooper_pop_2030_2050!E:E, MATCH($A13, Cooper_pop_2030_2050!B:B, 0))</f>
        <v>2330711.6931815208</v>
      </c>
      <c r="S13">
        <f>(INDEX(Cooper_pop_2030_2050!E:E, MATCH($A13, Cooper_pop_2030_2050!B:B, 0)))+0.1*((INDEX(Cooper_pop_2030_2050!F:F, MATCH($A13, Cooper_pop_2030_2050!B:B, 0)))-(INDEX(Cooper_pop_2030_2050!E:E, MATCH($A13, Cooper_pop_2030_2050!B:B, 0))))</f>
        <v>2357460.24008166</v>
      </c>
      <c r="T13">
        <f>(INDEX(Cooper_pop_2030_2050!E:E, MATCH($A13, Cooper_pop_2030_2050!B:B, 0)))+0.2*((INDEX(Cooper_pop_2030_2050!F:F, MATCH($A13, Cooper_pop_2030_2050!B:B, 0)))-(INDEX(Cooper_pop_2030_2050!E:E, MATCH($A13, Cooper_pop_2030_2050!B:B, 0))))</f>
        <v>2384208.7869817996</v>
      </c>
      <c r="U13">
        <f>(INDEX(Cooper_pop_2030_2050!E:E, MATCH($A13, Cooper_pop_2030_2050!B:B, 0)))+0.3*((INDEX(Cooper_pop_2030_2050!F:F, MATCH($A13, Cooper_pop_2030_2050!B:B, 0)))-(INDEX(Cooper_pop_2030_2050!E:E, MATCH($A13, Cooper_pop_2030_2050!B:B, 0))))</f>
        <v>2410957.3338819388</v>
      </c>
      <c r="V13">
        <f>(INDEX(Cooper_pop_2030_2050!E:E, MATCH($A13, Cooper_pop_2030_2050!B:B, 0)))+0.4*((INDEX(Cooper_pop_2030_2050!F:F, MATCH($A13, Cooper_pop_2030_2050!B:B, 0)))-(INDEX(Cooper_pop_2030_2050!E:E, MATCH($A13, Cooper_pop_2030_2050!B:B, 0))))</f>
        <v>2437705.880782078</v>
      </c>
      <c r="W13">
        <f>(INDEX(Cooper_pop_2030_2050!E:E, MATCH($A13, Cooper_pop_2030_2050!B:B, 0)))+0.5*((INDEX(Cooper_pop_2030_2050!F:F, MATCH($A13, Cooper_pop_2030_2050!B:B, 0)))-(INDEX(Cooper_pop_2030_2050!E:E, MATCH($A13, Cooper_pop_2030_2050!B:B, 0))))</f>
        <v>2464454.4276822172</v>
      </c>
      <c r="X13">
        <f>(INDEX(Cooper_pop_2030_2050!E:E, MATCH($A13, Cooper_pop_2030_2050!B:B, 0)))+0.6*((INDEX(Cooper_pop_2030_2050!F:F, MATCH($A13, Cooper_pop_2030_2050!B:B, 0)))-(INDEX(Cooper_pop_2030_2050!E:E, MATCH($A13, Cooper_pop_2030_2050!B:B, 0))))</f>
        <v>2491202.9745823569</v>
      </c>
      <c r="Y13">
        <f>(INDEX(Cooper_pop_2030_2050!E:E, MATCH($A13, Cooper_pop_2030_2050!B:B, 0)))+0.7*((INDEX(Cooper_pop_2030_2050!F:F, MATCH($A13, Cooper_pop_2030_2050!B:B, 0)))-(INDEX(Cooper_pop_2030_2050!E:E, MATCH($A13, Cooper_pop_2030_2050!B:B, 0))))</f>
        <v>2517951.5214824961</v>
      </c>
      <c r="Z13">
        <f>(INDEX(Cooper_pop_2030_2050!E:E, MATCH($A13, Cooper_pop_2030_2050!B:B, 0)))+0.8*((INDEX(Cooper_pop_2030_2050!F:F, MATCH($A13, Cooper_pop_2030_2050!B:B, 0)))-(INDEX(Cooper_pop_2030_2050!E:E, MATCH($A13, Cooper_pop_2030_2050!B:B, 0))))</f>
        <v>2544700.0683826352</v>
      </c>
      <c r="AA13">
        <f>(INDEX(Cooper_pop_2030_2050!E:E, MATCH($A13, Cooper_pop_2030_2050!B:B, 0)))+0.9*((INDEX(Cooper_pop_2030_2050!F:F, MATCH($A13, Cooper_pop_2030_2050!B:B, 0)))-(INDEX(Cooper_pop_2030_2050!E:E, MATCH($A13, Cooper_pop_2030_2050!B:B, 0))))</f>
        <v>2571448.6152827749</v>
      </c>
      <c r="AB13">
        <f>INDEX(Cooper_pop_2030_2050!F:F, MATCH($A13, Cooper_pop_2030_2050!B:B, 0))</f>
        <v>2598197.1621829141</v>
      </c>
    </row>
    <row r="14" spans="1:28">
      <c r="A14" t="s">
        <v>2898</v>
      </c>
      <c r="B14">
        <f>IFERROR(INDEX(Census_pop_2020_2025!G:G, MATCH("."&amp;$A14, Census_pop_2020_2025!A:A, 0)),INDEX(Census_pop_2020_2025!G:G, MATCH($A14, Census_pop_2020_2025!A:A, 0)))</f>
        <v>12703033</v>
      </c>
      <c r="C14">
        <f>IFERROR(INDEX(Census_pop_2020_2025!H:H, MATCH("."&amp;$A14, Census_pop_2020_2025!A:A, 0)),INDEX(Census_pop_2020_2025!H:H, MATCH($A14, Census_pop_2020_2025!A:A, 0)))</f>
        <v>12719141</v>
      </c>
      <c r="D14">
        <f>(IFERROR(INDEX(Census_pop_2020_2025!H:H, MATCH("."&amp;$A14, Census_pop_2020_2025!A:A, 0)),INDEX(Census_pop_2020_2025!H:H, MATCH($A14, Census_pop_2020_2025!A:A, 0))))+0.2*((INDEX(Cooper_pop_2030_2050!D:D, MATCH($A14, Cooper_pop_2030_2050!B:B, 0)))-(IFERROR(INDEX(Census_pop_2020_2025!H:H, MATCH("."&amp;$A14, Census_pop_2020_2025!A:A, 0)),INDEX(Census_pop_2020_2025!H:H, MATCH($A14, Census_pop_2020_2025!A:A, 0)))))</f>
        <v>12735098.360118441</v>
      </c>
      <c r="E14">
        <f>(IFERROR(INDEX(Census_pop_2020_2025!H:H, MATCH("."&amp;$A14, Census_pop_2020_2025!A:A, 0)),INDEX(Census_pop_2020_2025!H:H, MATCH($A14, Census_pop_2020_2025!A:A, 0))))+0.4*((INDEX(Cooper_pop_2030_2050!D:D, MATCH($A14, Cooper_pop_2030_2050!B:B, 0)))-(IFERROR(INDEX(Census_pop_2020_2025!H:H, MATCH("."&amp;$A14, Census_pop_2020_2025!A:A, 0)),INDEX(Census_pop_2020_2025!H:H, MATCH($A14, Census_pop_2020_2025!A:A, 0)))))</f>
        <v>12751055.720236884</v>
      </c>
      <c r="F14">
        <f>(IFERROR(INDEX(Census_pop_2020_2025!H:H, MATCH("."&amp;$A14, Census_pop_2020_2025!A:A, 0)),INDEX(Census_pop_2020_2025!H:H, MATCH($A14, Census_pop_2020_2025!A:A, 0))))+0.6*((INDEX(Cooper_pop_2030_2050!D:D, MATCH($A14, Cooper_pop_2030_2050!B:B, 0)))-(IFERROR(INDEX(Census_pop_2020_2025!H:H, MATCH("."&amp;$A14, Census_pop_2020_2025!A:A, 0)),INDEX(Census_pop_2020_2025!H:H, MATCH($A14, Census_pop_2020_2025!A:A, 0)))))</f>
        <v>12767013.080355326</v>
      </c>
      <c r="G14">
        <f>(IFERROR(INDEX(Census_pop_2020_2025!H:H, MATCH("."&amp;$A14, Census_pop_2020_2025!A:A, 0)),INDEX(Census_pop_2020_2025!H:H, MATCH($A14, Census_pop_2020_2025!A:A, 0))))+0.8*((INDEX(Cooper_pop_2030_2050!D:D, MATCH($A14, Cooper_pop_2030_2050!B:B, 0)))-(IFERROR(INDEX(Census_pop_2020_2025!H:H, MATCH("."&amp;$A14, Census_pop_2020_2025!A:A, 0)),INDEX(Census_pop_2020_2025!H:H, MATCH($A14, Census_pop_2020_2025!A:A, 0)))))</f>
        <v>12782970.440473769</v>
      </c>
      <c r="H14">
        <f>INDEX(Cooper_pop_2030_2050!D:D, MATCH($A14, Cooper_pop_2030_2050!B:B, 0))</f>
        <v>12798927.80059221</v>
      </c>
      <c r="I14">
        <f>(INDEX(Cooper_pop_2030_2050!D:D, MATCH($A14, Cooper_pop_2030_2050!B:B, 0)))+0.1*((INDEX(Cooper_pop_2030_2050!E:E, MATCH($A14, Cooper_pop_2030_2050!B:B, 0)))-(INDEX(Cooper_pop_2030_2050!D:D, MATCH($A14, Cooper_pop_2030_2050!B:B, 0))))</f>
        <v>12747848.070494402</v>
      </c>
      <c r="J14">
        <f>(INDEX(Cooper_pop_2030_2050!D:D, MATCH($A14, Cooper_pop_2030_2050!B:B, 0)))+0.2*((INDEX(Cooper_pop_2030_2050!E:E, MATCH($A14, Cooper_pop_2030_2050!B:B, 0)))-(INDEX(Cooper_pop_2030_2050!D:D, MATCH($A14, Cooper_pop_2030_2050!B:B, 0))))</f>
        <v>12696768.340396594</v>
      </c>
      <c r="K14">
        <f>(INDEX(Cooper_pop_2030_2050!D:D, MATCH($A14, Cooper_pop_2030_2050!B:B, 0)))+0.3*((INDEX(Cooper_pop_2030_2050!E:E, MATCH($A14, Cooper_pop_2030_2050!B:B, 0)))-(INDEX(Cooper_pop_2030_2050!D:D, MATCH($A14, Cooper_pop_2030_2050!B:B, 0))))</f>
        <v>12645688.610298786</v>
      </c>
      <c r="L14">
        <f>(INDEX(Cooper_pop_2030_2050!D:D, MATCH($A14, Cooper_pop_2030_2050!B:B, 0)))+0.4*((INDEX(Cooper_pop_2030_2050!E:E, MATCH($A14, Cooper_pop_2030_2050!B:B, 0)))-(INDEX(Cooper_pop_2030_2050!D:D, MATCH($A14, Cooper_pop_2030_2050!B:B, 0))))</f>
        <v>12594608.880200978</v>
      </c>
      <c r="M14">
        <f>(INDEX(Cooper_pop_2030_2050!D:D, MATCH($A14, Cooper_pop_2030_2050!B:B, 0)))+0.5*((INDEX(Cooper_pop_2030_2050!E:E, MATCH($A14, Cooper_pop_2030_2050!B:B, 0)))-(INDEX(Cooper_pop_2030_2050!D:D, MATCH($A14, Cooper_pop_2030_2050!B:B, 0))))</f>
        <v>12543529.15010317</v>
      </c>
      <c r="N14">
        <f>(INDEX(Cooper_pop_2030_2050!D:D, MATCH($A14, Cooper_pop_2030_2050!B:B, 0)))+0.6*((INDEX(Cooper_pop_2030_2050!E:E, MATCH($A14, Cooper_pop_2030_2050!B:B, 0)))-(INDEX(Cooper_pop_2030_2050!D:D, MATCH($A14, Cooper_pop_2030_2050!B:B, 0))))</f>
        <v>12492449.420005362</v>
      </c>
      <c r="O14">
        <f>(INDEX(Cooper_pop_2030_2050!D:D, MATCH($A14, Cooper_pop_2030_2050!B:B, 0)))+0.7*((INDEX(Cooper_pop_2030_2050!E:E, MATCH($A14, Cooper_pop_2030_2050!B:B, 0)))-(INDEX(Cooper_pop_2030_2050!D:D, MATCH($A14, Cooper_pop_2030_2050!B:B, 0))))</f>
        <v>12441369.689907555</v>
      </c>
      <c r="P14">
        <f>(INDEX(Cooper_pop_2030_2050!D:D, MATCH($A14, Cooper_pop_2030_2050!B:B, 0)))+0.8*((INDEX(Cooper_pop_2030_2050!E:E, MATCH($A14, Cooper_pop_2030_2050!B:B, 0)))-(INDEX(Cooper_pop_2030_2050!D:D, MATCH($A14, Cooper_pop_2030_2050!B:B, 0))))</f>
        <v>12390289.959809747</v>
      </c>
      <c r="Q14">
        <f>(INDEX(Cooper_pop_2030_2050!D:D, MATCH($A14, Cooper_pop_2030_2050!B:B, 0)))+0.9*((INDEX(Cooper_pop_2030_2050!E:E, MATCH($A14, Cooper_pop_2030_2050!B:B, 0)))-(INDEX(Cooper_pop_2030_2050!D:D, MATCH($A14, Cooper_pop_2030_2050!B:B, 0))))</f>
        <v>12339210.229711939</v>
      </c>
      <c r="R14">
        <f>INDEX(Cooper_pop_2030_2050!E:E, MATCH($A14, Cooper_pop_2030_2050!B:B, 0))</f>
        <v>12288130.499614131</v>
      </c>
      <c r="S14">
        <f>(INDEX(Cooper_pop_2030_2050!E:E, MATCH($A14, Cooper_pop_2030_2050!B:B, 0)))+0.1*((INDEX(Cooper_pop_2030_2050!F:F, MATCH($A14, Cooper_pop_2030_2050!B:B, 0)))-(INDEX(Cooper_pop_2030_2050!E:E, MATCH($A14, Cooper_pop_2030_2050!B:B, 0))))</f>
        <v>12225264.884422956</v>
      </c>
      <c r="T14">
        <f>(INDEX(Cooper_pop_2030_2050!E:E, MATCH($A14, Cooper_pop_2030_2050!B:B, 0)))+0.2*((INDEX(Cooper_pop_2030_2050!F:F, MATCH($A14, Cooper_pop_2030_2050!B:B, 0)))-(INDEX(Cooper_pop_2030_2050!E:E, MATCH($A14, Cooper_pop_2030_2050!B:B, 0))))</f>
        <v>12162399.269231781</v>
      </c>
      <c r="U14">
        <f>(INDEX(Cooper_pop_2030_2050!E:E, MATCH($A14, Cooper_pop_2030_2050!B:B, 0)))+0.3*((INDEX(Cooper_pop_2030_2050!F:F, MATCH($A14, Cooper_pop_2030_2050!B:B, 0)))-(INDEX(Cooper_pop_2030_2050!E:E, MATCH($A14, Cooper_pop_2030_2050!B:B, 0))))</f>
        <v>12099533.654040605</v>
      </c>
      <c r="V14">
        <f>(INDEX(Cooper_pop_2030_2050!E:E, MATCH($A14, Cooper_pop_2030_2050!B:B, 0)))+0.4*((INDEX(Cooper_pop_2030_2050!F:F, MATCH($A14, Cooper_pop_2030_2050!B:B, 0)))-(INDEX(Cooper_pop_2030_2050!E:E, MATCH($A14, Cooper_pop_2030_2050!B:B, 0))))</f>
        <v>12036668.03884943</v>
      </c>
      <c r="W14">
        <f>(INDEX(Cooper_pop_2030_2050!E:E, MATCH($A14, Cooper_pop_2030_2050!B:B, 0)))+0.5*((INDEX(Cooper_pop_2030_2050!F:F, MATCH($A14, Cooper_pop_2030_2050!B:B, 0)))-(INDEX(Cooper_pop_2030_2050!E:E, MATCH($A14, Cooper_pop_2030_2050!B:B, 0))))</f>
        <v>11973802.423658255</v>
      </c>
      <c r="X14">
        <f>(INDEX(Cooper_pop_2030_2050!E:E, MATCH($A14, Cooper_pop_2030_2050!B:B, 0)))+0.6*((INDEX(Cooper_pop_2030_2050!F:F, MATCH($A14, Cooper_pop_2030_2050!B:B, 0)))-(INDEX(Cooper_pop_2030_2050!E:E, MATCH($A14, Cooper_pop_2030_2050!B:B, 0))))</f>
        <v>11910936.808467081</v>
      </c>
      <c r="Y14">
        <f>(INDEX(Cooper_pop_2030_2050!E:E, MATCH($A14, Cooper_pop_2030_2050!B:B, 0)))+0.7*((INDEX(Cooper_pop_2030_2050!F:F, MATCH($A14, Cooper_pop_2030_2050!B:B, 0)))-(INDEX(Cooper_pop_2030_2050!E:E, MATCH($A14, Cooper_pop_2030_2050!B:B, 0))))</f>
        <v>11848071.193275906</v>
      </c>
      <c r="Z14">
        <f>(INDEX(Cooper_pop_2030_2050!E:E, MATCH($A14, Cooper_pop_2030_2050!B:B, 0)))+0.8*((INDEX(Cooper_pop_2030_2050!F:F, MATCH($A14, Cooper_pop_2030_2050!B:B, 0)))-(INDEX(Cooper_pop_2030_2050!E:E, MATCH($A14, Cooper_pop_2030_2050!B:B, 0))))</f>
        <v>11785205.57808473</v>
      </c>
      <c r="AA14">
        <f>(INDEX(Cooper_pop_2030_2050!E:E, MATCH($A14, Cooper_pop_2030_2050!B:B, 0)))+0.9*((INDEX(Cooper_pop_2030_2050!F:F, MATCH($A14, Cooper_pop_2030_2050!B:B, 0)))-(INDEX(Cooper_pop_2030_2050!E:E, MATCH($A14, Cooper_pop_2030_2050!B:B, 0))))</f>
        <v>11722339.962893555</v>
      </c>
      <c r="AB14">
        <f>INDEX(Cooper_pop_2030_2050!F:F, MATCH($A14, Cooper_pop_2030_2050!B:B, 0))</f>
        <v>11659474.34770238</v>
      </c>
    </row>
    <row r="15" spans="1:28">
      <c r="A15" t="s">
        <v>2899</v>
      </c>
      <c r="B15">
        <f>IFERROR(INDEX(Census_pop_2020_2025!G:G, MATCH("."&amp;$A15, Census_pop_2020_2025!A:A, 0)),INDEX(Census_pop_2020_2025!G:G, MATCH($A15, Census_pop_2020_2025!A:A, 0)))</f>
        <v>6934754</v>
      </c>
      <c r="C15">
        <f>IFERROR(INDEX(Census_pop_2020_2025!H:H, MATCH("."&amp;$A15, Census_pop_2020_2025!A:A, 0)),INDEX(Census_pop_2020_2025!H:H, MATCH($A15, Census_pop_2020_2025!A:A, 0)))</f>
        <v>6973333</v>
      </c>
      <c r="D15">
        <f>(IFERROR(INDEX(Census_pop_2020_2025!H:H, MATCH("."&amp;$A15, Census_pop_2020_2025!A:A, 0)),INDEX(Census_pop_2020_2025!H:H, MATCH($A15, Census_pop_2020_2025!A:A, 0))))+0.2*((INDEX(Cooper_pop_2030_2050!D:D, MATCH($A15, Cooper_pop_2030_2050!B:B, 0)))-(IFERROR(INDEX(Census_pop_2020_2025!H:H, MATCH("."&amp;$A15, Census_pop_2020_2025!A:A, 0)),INDEX(Census_pop_2020_2025!H:H, MATCH($A15, Census_pop_2020_2025!A:A, 0)))))</f>
        <v>6982434.9925228134</v>
      </c>
      <c r="E15">
        <f>(IFERROR(INDEX(Census_pop_2020_2025!H:H, MATCH("."&amp;$A15, Census_pop_2020_2025!A:A, 0)),INDEX(Census_pop_2020_2025!H:H, MATCH($A15, Census_pop_2020_2025!A:A, 0))))+0.4*((INDEX(Cooper_pop_2030_2050!D:D, MATCH($A15, Cooper_pop_2030_2050!B:B, 0)))-(IFERROR(INDEX(Census_pop_2020_2025!H:H, MATCH("."&amp;$A15, Census_pop_2020_2025!A:A, 0)),INDEX(Census_pop_2020_2025!H:H, MATCH($A15, Census_pop_2020_2025!A:A, 0)))))</f>
        <v>6991536.9850456258</v>
      </c>
      <c r="F15">
        <f>(IFERROR(INDEX(Census_pop_2020_2025!H:H, MATCH("."&amp;$A15, Census_pop_2020_2025!A:A, 0)),INDEX(Census_pop_2020_2025!H:H, MATCH($A15, Census_pop_2020_2025!A:A, 0))))+0.6*((INDEX(Cooper_pop_2030_2050!D:D, MATCH($A15, Cooper_pop_2030_2050!B:B, 0)))-(IFERROR(INDEX(Census_pop_2020_2025!H:H, MATCH("."&amp;$A15, Census_pop_2020_2025!A:A, 0)),INDEX(Census_pop_2020_2025!H:H, MATCH($A15, Census_pop_2020_2025!A:A, 0)))))</f>
        <v>7000638.9775684392</v>
      </c>
      <c r="G15">
        <f>(IFERROR(INDEX(Census_pop_2020_2025!H:H, MATCH("."&amp;$A15, Census_pop_2020_2025!A:A, 0)),INDEX(Census_pop_2020_2025!H:H, MATCH($A15, Census_pop_2020_2025!A:A, 0))))+0.8*((INDEX(Cooper_pop_2030_2050!D:D, MATCH($A15, Cooper_pop_2030_2050!B:B, 0)))-(IFERROR(INDEX(Census_pop_2020_2025!H:H, MATCH("."&amp;$A15, Census_pop_2020_2025!A:A, 0)),INDEX(Census_pop_2020_2025!H:H, MATCH($A15, Census_pop_2020_2025!A:A, 0)))))</f>
        <v>7009740.9700912517</v>
      </c>
      <c r="H15">
        <f>INDEX(Cooper_pop_2030_2050!D:D, MATCH($A15, Cooper_pop_2030_2050!B:B, 0))</f>
        <v>7018842.962614065</v>
      </c>
      <c r="I15">
        <f>(INDEX(Cooper_pop_2030_2050!D:D, MATCH($A15, Cooper_pop_2030_2050!B:B, 0)))+0.1*((INDEX(Cooper_pop_2030_2050!E:E, MATCH($A15, Cooper_pop_2030_2050!B:B, 0)))-(INDEX(Cooper_pop_2030_2050!D:D, MATCH($A15, Cooper_pop_2030_2050!B:B, 0))))</f>
        <v>7023187.6771870349</v>
      </c>
      <c r="J15">
        <f>(INDEX(Cooper_pop_2030_2050!D:D, MATCH($A15, Cooper_pop_2030_2050!B:B, 0)))+0.2*((INDEX(Cooper_pop_2030_2050!E:E, MATCH($A15, Cooper_pop_2030_2050!B:B, 0)))-(INDEX(Cooper_pop_2030_2050!D:D, MATCH($A15, Cooper_pop_2030_2050!B:B, 0))))</f>
        <v>7027532.3917600038</v>
      </c>
      <c r="K15">
        <f>(INDEX(Cooper_pop_2030_2050!D:D, MATCH($A15, Cooper_pop_2030_2050!B:B, 0)))+0.3*((INDEX(Cooper_pop_2030_2050!E:E, MATCH($A15, Cooper_pop_2030_2050!B:B, 0)))-(INDEX(Cooper_pop_2030_2050!D:D, MATCH($A15, Cooper_pop_2030_2050!B:B, 0))))</f>
        <v>7031877.1063329726</v>
      </c>
      <c r="L15">
        <f>(INDEX(Cooper_pop_2030_2050!D:D, MATCH($A15, Cooper_pop_2030_2050!B:B, 0)))+0.4*((INDEX(Cooper_pop_2030_2050!E:E, MATCH($A15, Cooper_pop_2030_2050!B:B, 0)))-(INDEX(Cooper_pop_2030_2050!D:D, MATCH($A15, Cooper_pop_2030_2050!B:B, 0))))</f>
        <v>7036221.8209059425</v>
      </c>
      <c r="M15">
        <f>(INDEX(Cooper_pop_2030_2050!D:D, MATCH($A15, Cooper_pop_2030_2050!B:B, 0)))+0.5*((INDEX(Cooper_pop_2030_2050!E:E, MATCH($A15, Cooper_pop_2030_2050!B:B, 0)))-(INDEX(Cooper_pop_2030_2050!D:D, MATCH($A15, Cooper_pop_2030_2050!B:B, 0))))</f>
        <v>7040566.5354789123</v>
      </c>
      <c r="N15">
        <f>(INDEX(Cooper_pop_2030_2050!D:D, MATCH($A15, Cooper_pop_2030_2050!B:B, 0)))+0.6*((INDEX(Cooper_pop_2030_2050!E:E, MATCH($A15, Cooper_pop_2030_2050!B:B, 0)))-(INDEX(Cooper_pop_2030_2050!D:D, MATCH($A15, Cooper_pop_2030_2050!B:B, 0))))</f>
        <v>7044911.2500518812</v>
      </c>
      <c r="O15">
        <f>(INDEX(Cooper_pop_2030_2050!D:D, MATCH($A15, Cooper_pop_2030_2050!B:B, 0)))+0.7*((INDEX(Cooper_pop_2030_2050!E:E, MATCH($A15, Cooper_pop_2030_2050!B:B, 0)))-(INDEX(Cooper_pop_2030_2050!D:D, MATCH($A15, Cooper_pop_2030_2050!B:B, 0))))</f>
        <v>7049255.9646248501</v>
      </c>
      <c r="P15">
        <f>(INDEX(Cooper_pop_2030_2050!D:D, MATCH($A15, Cooper_pop_2030_2050!B:B, 0)))+0.8*((INDEX(Cooper_pop_2030_2050!E:E, MATCH($A15, Cooper_pop_2030_2050!B:B, 0)))-(INDEX(Cooper_pop_2030_2050!D:D, MATCH($A15, Cooper_pop_2030_2050!B:B, 0))))</f>
        <v>7053600.6791978199</v>
      </c>
      <c r="Q15">
        <f>(INDEX(Cooper_pop_2030_2050!D:D, MATCH($A15, Cooper_pop_2030_2050!B:B, 0)))+0.9*((INDEX(Cooper_pop_2030_2050!E:E, MATCH($A15, Cooper_pop_2030_2050!B:B, 0)))-(INDEX(Cooper_pop_2030_2050!D:D, MATCH($A15, Cooper_pop_2030_2050!B:B, 0))))</f>
        <v>7057945.3937707897</v>
      </c>
      <c r="R15">
        <f>INDEX(Cooper_pop_2030_2050!E:E, MATCH($A15, Cooper_pop_2030_2050!B:B, 0))</f>
        <v>7062290.1083437586</v>
      </c>
      <c r="S15">
        <f>(INDEX(Cooper_pop_2030_2050!E:E, MATCH($A15, Cooper_pop_2030_2050!B:B, 0)))+0.1*((INDEX(Cooper_pop_2030_2050!F:F, MATCH($A15, Cooper_pop_2030_2050!B:B, 0)))-(INDEX(Cooper_pop_2030_2050!E:E, MATCH($A15, Cooper_pop_2030_2050!B:B, 0))))</f>
        <v>7058334.9720348502</v>
      </c>
      <c r="T15">
        <f>(INDEX(Cooper_pop_2030_2050!E:E, MATCH($A15, Cooper_pop_2030_2050!B:B, 0)))+0.2*((INDEX(Cooper_pop_2030_2050!F:F, MATCH($A15, Cooper_pop_2030_2050!B:B, 0)))-(INDEX(Cooper_pop_2030_2050!E:E, MATCH($A15, Cooper_pop_2030_2050!B:B, 0))))</f>
        <v>7054379.8357259408</v>
      </c>
      <c r="U15">
        <f>(INDEX(Cooper_pop_2030_2050!E:E, MATCH($A15, Cooper_pop_2030_2050!B:B, 0)))+0.3*((INDEX(Cooper_pop_2030_2050!F:F, MATCH($A15, Cooper_pop_2030_2050!B:B, 0)))-(INDEX(Cooper_pop_2030_2050!E:E, MATCH($A15, Cooper_pop_2030_2050!B:B, 0))))</f>
        <v>7050424.6994170323</v>
      </c>
      <c r="V15">
        <f>(INDEX(Cooper_pop_2030_2050!E:E, MATCH($A15, Cooper_pop_2030_2050!B:B, 0)))+0.4*((INDEX(Cooper_pop_2030_2050!F:F, MATCH($A15, Cooper_pop_2030_2050!B:B, 0)))-(INDEX(Cooper_pop_2030_2050!E:E, MATCH($A15, Cooper_pop_2030_2050!B:B, 0))))</f>
        <v>7046469.5631081229</v>
      </c>
      <c r="W15">
        <f>(INDEX(Cooper_pop_2030_2050!E:E, MATCH($A15, Cooper_pop_2030_2050!B:B, 0)))+0.5*((INDEX(Cooper_pop_2030_2050!F:F, MATCH($A15, Cooper_pop_2030_2050!B:B, 0)))-(INDEX(Cooper_pop_2030_2050!E:E, MATCH($A15, Cooper_pop_2030_2050!B:B, 0))))</f>
        <v>7042514.4267992144</v>
      </c>
      <c r="X15">
        <f>(INDEX(Cooper_pop_2030_2050!E:E, MATCH($A15, Cooper_pop_2030_2050!B:B, 0)))+0.6*((INDEX(Cooper_pop_2030_2050!F:F, MATCH($A15, Cooper_pop_2030_2050!B:B, 0)))-(INDEX(Cooper_pop_2030_2050!E:E, MATCH($A15, Cooper_pop_2030_2050!B:B, 0))))</f>
        <v>7038559.290490306</v>
      </c>
      <c r="Y15">
        <f>(INDEX(Cooper_pop_2030_2050!E:E, MATCH($A15, Cooper_pop_2030_2050!B:B, 0)))+0.7*((INDEX(Cooper_pop_2030_2050!F:F, MATCH($A15, Cooper_pop_2030_2050!B:B, 0)))-(INDEX(Cooper_pop_2030_2050!E:E, MATCH($A15, Cooper_pop_2030_2050!B:B, 0))))</f>
        <v>7034604.1541813966</v>
      </c>
      <c r="Z15">
        <f>(INDEX(Cooper_pop_2030_2050!E:E, MATCH($A15, Cooper_pop_2030_2050!B:B, 0)))+0.8*((INDEX(Cooper_pop_2030_2050!F:F, MATCH($A15, Cooper_pop_2030_2050!B:B, 0)))-(INDEX(Cooper_pop_2030_2050!E:E, MATCH($A15, Cooper_pop_2030_2050!B:B, 0))))</f>
        <v>7030649.0178724881</v>
      </c>
      <c r="AA15">
        <f>(INDEX(Cooper_pop_2030_2050!E:E, MATCH($A15, Cooper_pop_2030_2050!B:B, 0)))+0.9*((INDEX(Cooper_pop_2030_2050!F:F, MATCH($A15, Cooper_pop_2030_2050!B:B, 0)))-(INDEX(Cooper_pop_2030_2050!E:E, MATCH($A15, Cooper_pop_2030_2050!B:B, 0))))</f>
        <v>7026693.8815635787</v>
      </c>
      <c r="AB15">
        <f>INDEX(Cooper_pop_2030_2050!F:F, MATCH($A15, Cooper_pop_2030_2050!B:B, 0))</f>
        <v>7022738.7452546703</v>
      </c>
    </row>
    <row r="16" spans="1:28">
      <c r="A16" t="s">
        <v>2900</v>
      </c>
      <c r="B16">
        <f>IFERROR(INDEX(Census_pop_2020_2025!G:G, MATCH("."&amp;$A16, Census_pop_2020_2025!A:A, 0)),INDEX(Census_pop_2020_2025!G:G, MATCH($A16, Census_pop_2020_2025!A:A, 0)))</f>
        <v>3230454</v>
      </c>
      <c r="C16">
        <f>IFERROR(INDEX(Census_pop_2020_2025!H:H, MATCH("."&amp;$A16, Census_pop_2020_2025!A:A, 0)),INDEX(Census_pop_2020_2025!H:H, MATCH($A16, Census_pop_2020_2025!A:A, 0)))</f>
        <v>3238387</v>
      </c>
      <c r="D16">
        <f>(IFERROR(INDEX(Census_pop_2020_2025!H:H, MATCH("."&amp;$A16, Census_pop_2020_2025!A:A, 0)),INDEX(Census_pop_2020_2025!H:H, MATCH($A16, Census_pop_2020_2025!A:A, 0))))+0.2*((INDEX(Cooper_pop_2030_2050!D:D, MATCH($A16, Cooper_pop_2030_2050!B:B, 0)))-(IFERROR(INDEX(Census_pop_2020_2025!H:H, MATCH("."&amp;$A16, Census_pop_2020_2025!A:A, 0)),INDEX(Census_pop_2020_2025!H:H, MATCH($A16, Census_pop_2020_2025!A:A, 0)))))</f>
        <v>3251066.3146849596</v>
      </c>
      <c r="E16">
        <f>(IFERROR(INDEX(Census_pop_2020_2025!H:H, MATCH("."&amp;$A16, Census_pop_2020_2025!A:A, 0)),INDEX(Census_pop_2020_2025!H:H, MATCH($A16, Census_pop_2020_2025!A:A, 0))))+0.4*((INDEX(Cooper_pop_2030_2050!D:D, MATCH($A16, Cooper_pop_2030_2050!B:B, 0)))-(IFERROR(INDEX(Census_pop_2020_2025!H:H, MATCH("."&amp;$A16, Census_pop_2020_2025!A:A, 0)),INDEX(Census_pop_2020_2025!H:H, MATCH($A16, Census_pop_2020_2025!A:A, 0)))))</f>
        <v>3263745.6293699192</v>
      </c>
      <c r="F16">
        <f>(IFERROR(INDEX(Census_pop_2020_2025!H:H, MATCH("."&amp;$A16, Census_pop_2020_2025!A:A, 0)),INDEX(Census_pop_2020_2025!H:H, MATCH($A16, Census_pop_2020_2025!A:A, 0))))+0.6*((INDEX(Cooper_pop_2030_2050!D:D, MATCH($A16, Cooper_pop_2030_2050!B:B, 0)))-(IFERROR(INDEX(Census_pop_2020_2025!H:H, MATCH("."&amp;$A16, Census_pop_2020_2025!A:A, 0)),INDEX(Census_pop_2020_2025!H:H, MATCH($A16, Census_pop_2020_2025!A:A, 0)))))</f>
        <v>3276424.9440548788</v>
      </c>
      <c r="G16">
        <f>(IFERROR(INDEX(Census_pop_2020_2025!H:H, MATCH("."&amp;$A16, Census_pop_2020_2025!A:A, 0)),INDEX(Census_pop_2020_2025!H:H, MATCH($A16, Census_pop_2020_2025!A:A, 0))))+0.8*((INDEX(Cooper_pop_2030_2050!D:D, MATCH($A16, Cooper_pop_2030_2050!B:B, 0)))-(IFERROR(INDEX(Census_pop_2020_2025!H:H, MATCH("."&amp;$A16, Census_pop_2020_2025!A:A, 0)),INDEX(Census_pop_2020_2025!H:H, MATCH($A16, Census_pop_2020_2025!A:A, 0)))))</f>
        <v>3289104.2587398384</v>
      </c>
      <c r="H16">
        <f>INDEX(Cooper_pop_2030_2050!D:D, MATCH($A16, Cooper_pop_2030_2050!B:B, 0))</f>
        <v>3301783.573424798</v>
      </c>
      <c r="I16">
        <f>(INDEX(Cooper_pop_2030_2050!D:D, MATCH($A16, Cooper_pop_2030_2050!B:B, 0)))+0.1*((INDEX(Cooper_pop_2030_2050!E:E, MATCH($A16, Cooper_pop_2030_2050!B:B, 0)))-(INDEX(Cooper_pop_2030_2050!D:D, MATCH($A16, Cooper_pop_2030_2050!B:B, 0))))</f>
        <v>3304061.9491900378</v>
      </c>
      <c r="J16">
        <f>(INDEX(Cooper_pop_2030_2050!D:D, MATCH($A16, Cooper_pop_2030_2050!B:B, 0)))+0.2*((INDEX(Cooper_pop_2030_2050!E:E, MATCH($A16, Cooper_pop_2030_2050!B:B, 0)))-(INDEX(Cooper_pop_2030_2050!D:D, MATCH($A16, Cooper_pop_2030_2050!B:B, 0))))</f>
        <v>3306340.3249552771</v>
      </c>
      <c r="K16">
        <f>(INDEX(Cooper_pop_2030_2050!D:D, MATCH($A16, Cooper_pop_2030_2050!B:B, 0)))+0.3*((INDEX(Cooper_pop_2030_2050!E:E, MATCH($A16, Cooper_pop_2030_2050!B:B, 0)))-(INDEX(Cooper_pop_2030_2050!D:D, MATCH($A16, Cooper_pop_2030_2050!B:B, 0))))</f>
        <v>3308618.700720517</v>
      </c>
      <c r="L16">
        <f>(INDEX(Cooper_pop_2030_2050!D:D, MATCH($A16, Cooper_pop_2030_2050!B:B, 0)))+0.4*((INDEX(Cooper_pop_2030_2050!E:E, MATCH($A16, Cooper_pop_2030_2050!B:B, 0)))-(INDEX(Cooper_pop_2030_2050!D:D, MATCH($A16, Cooper_pop_2030_2050!B:B, 0))))</f>
        <v>3310897.0764857568</v>
      </c>
      <c r="M16">
        <f>(INDEX(Cooper_pop_2030_2050!D:D, MATCH($A16, Cooper_pop_2030_2050!B:B, 0)))+0.5*((INDEX(Cooper_pop_2030_2050!E:E, MATCH($A16, Cooper_pop_2030_2050!B:B, 0)))-(INDEX(Cooper_pop_2030_2050!D:D, MATCH($A16, Cooper_pop_2030_2050!B:B, 0))))</f>
        <v>3313175.4522509966</v>
      </c>
      <c r="N16">
        <f>(INDEX(Cooper_pop_2030_2050!D:D, MATCH($A16, Cooper_pop_2030_2050!B:B, 0)))+0.6*((INDEX(Cooper_pop_2030_2050!E:E, MATCH($A16, Cooper_pop_2030_2050!B:B, 0)))-(INDEX(Cooper_pop_2030_2050!D:D, MATCH($A16, Cooper_pop_2030_2050!B:B, 0))))</f>
        <v>3315453.828016236</v>
      </c>
      <c r="O16">
        <f>(INDEX(Cooper_pop_2030_2050!D:D, MATCH($A16, Cooper_pop_2030_2050!B:B, 0)))+0.7*((INDEX(Cooper_pop_2030_2050!E:E, MATCH($A16, Cooper_pop_2030_2050!B:B, 0)))-(INDEX(Cooper_pop_2030_2050!D:D, MATCH($A16, Cooper_pop_2030_2050!B:B, 0))))</f>
        <v>3317732.2037814758</v>
      </c>
      <c r="P16">
        <f>(INDEX(Cooper_pop_2030_2050!D:D, MATCH($A16, Cooper_pop_2030_2050!B:B, 0)))+0.8*((INDEX(Cooper_pop_2030_2050!E:E, MATCH($A16, Cooper_pop_2030_2050!B:B, 0)))-(INDEX(Cooper_pop_2030_2050!D:D, MATCH($A16, Cooper_pop_2030_2050!B:B, 0))))</f>
        <v>3320010.5795467156</v>
      </c>
      <c r="Q16">
        <f>(INDEX(Cooper_pop_2030_2050!D:D, MATCH($A16, Cooper_pop_2030_2050!B:B, 0)))+0.9*((INDEX(Cooper_pop_2030_2050!E:E, MATCH($A16, Cooper_pop_2030_2050!B:B, 0)))-(INDEX(Cooper_pop_2030_2050!D:D, MATCH($A16, Cooper_pop_2030_2050!B:B, 0))))</f>
        <v>3322288.955311955</v>
      </c>
      <c r="R16">
        <f>INDEX(Cooper_pop_2030_2050!E:E, MATCH($A16, Cooper_pop_2030_2050!B:B, 0))</f>
        <v>3324567.3310771948</v>
      </c>
      <c r="S16">
        <f>(INDEX(Cooper_pop_2030_2050!E:E, MATCH($A16, Cooper_pop_2030_2050!B:B, 0)))+0.1*((INDEX(Cooper_pop_2030_2050!F:F, MATCH($A16, Cooper_pop_2030_2050!B:B, 0)))-(INDEX(Cooper_pop_2030_2050!E:E, MATCH($A16, Cooper_pop_2030_2050!B:B, 0))))</f>
        <v>3322938.8528293232</v>
      </c>
      <c r="T16">
        <f>(INDEX(Cooper_pop_2030_2050!E:E, MATCH($A16, Cooper_pop_2030_2050!B:B, 0)))+0.2*((INDEX(Cooper_pop_2030_2050!F:F, MATCH($A16, Cooper_pop_2030_2050!B:B, 0)))-(INDEX(Cooper_pop_2030_2050!E:E, MATCH($A16, Cooper_pop_2030_2050!B:B, 0))))</f>
        <v>3321310.374581452</v>
      </c>
      <c r="U16">
        <f>(INDEX(Cooper_pop_2030_2050!E:E, MATCH($A16, Cooper_pop_2030_2050!B:B, 0)))+0.3*((INDEX(Cooper_pop_2030_2050!F:F, MATCH($A16, Cooper_pop_2030_2050!B:B, 0)))-(INDEX(Cooper_pop_2030_2050!E:E, MATCH($A16, Cooper_pop_2030_2050!B:B, 0))))</f>
        <v>3319681.8963335804</v>
      </c>
      <c r="V16">
        <f>(INDEX(Cooper_pop_2030_2050!E:E, MATCH($A16, Cooper_pop_2030_2050!B:B, 0)))+0.4*((INDEX(Cooper_pop_2030_2050!F:F, MATCH($A16, Cooper_pop_2030_2050!B:B, 0)))-(INDEX(Cooper_pop_2030_2050!E:E, MATCH($A16, Cooper_pop_2030_2050!B:B, 0))))</f>
        <v>3318053.4180857087</v>
      </c>
      <c r="W16">
        <f>(INDEX(Cooper_pop_2030_2050!E:E, MATCH($A16, Cooper_pop_2030_2050!B:B, 0)))+0.5*((INDEX(Cooper_pop_2030_2050!F:F, MATCH($A16, Cooper_pop_2030_2050!B:B, 0)))-(INDEX(Cooper_pop_2030_2050!E:E, MATCH($A16, Cooper_pop_2030_2050!B:B, 0))))</f>
        <v>3316424.9398378376</v>
      </c>
      <c r="X16">
        <f>(INDEX(Cooper_pop_2030_2050!E:E, MATCH($A16, Cooper_pop_2030_2050!B:B, 0)))+0.6*((INDEX(Cooper_pop_2030_2050!F:F, MATCH($A16, Cooper_pop_2030_2050!B:B, 0)))-(INDEX(Cooper_pop_2030_2050!E:E, MATCH($A16, Cooper_pop_2030_2050!B:B, 0))))</f>
        <v>3314796.461589966</v>
      </c>
      <c r="Y16">
        <f>(INDEX(Cooper_pop_2030_2050!E:E, MATCH($A16, Cooper_pop_2030_2050!B:B, 0)))+0.7*((INDEX(Cooper_pop_2030_2050!F:F, MATCH($A16, Cooper_pop_2030_2050!B:B, 0)))-(INDEX(Cooper_pop_2030_2050!E:E, MATCH($A16, Cooper_pop_2030_2050!B:B, 0))))</f>
        <v>3313167.9833420943</v>
      </c>
      <c r="Z16">
        <f>(INDEX(Cooper_pop_2030_2050!E:E, MATCH($A16, Cooper_pop_2030_2050!B:B, 0)))+0.8*((INDEX(Cooper_pop_2030_2050!F:F, MATCH($A16, Cooper_pop_2030_2050!B:B, 0)))-(INDEX(Cooper_pop_2030_2050!E:E, MATCH($A16, Cooper_pop_2030_2050!B:B, 0))))</f>
        <v>3311539.5050942227</v>
      </c>
      <c r="AA16">
        <f>(INDEX(Cooper_pop_2030_2050!E:E, MATCH($A16, Cooper_pop_2030_2050!B:B, 0)))+0.9*((INDEX(Cooper_pop_2030_2050!F:F, MATCH($A16, Cooper_pop_2030_2050!B:B, 0)))-(INDEX(Cooper_pop_2030_2050!E:E, MATCH($A16, Cooper_pop_2030_2050!B:B, 0))))</f>
        <v>3309911.0268463516</v>
      </c>
      <c r="AB16">
        <f>INDEX(Cooper_pop_2030_2050!F:F, MATCH($A16, Cooper_pop_2030_2050!B:B, 0))</f>
        <v>3308282.5485984799</v>
      </c>
    </row>
    <row r="17" spans="1:28">
      <c r="A17" t="s">
        <v>2901</v>
      </c>
      <c r="B17">
        <f>IFERROR(INDEX(Census_pop_2020_2025!G:G, MATCH("."&amp;$A17, Census_pop_2020_2025!A:A, 0)),INDEX(Census_pop_2020_2025!G:G, MATCH($A17, Census_pop_2020_2025!A:A, 0)))</f>
        <v>2965252</v>
      </c>
      <c r="C17">
        <f>IFERROR(INDEX(Census_pop_2020_2025!H:H, MATCH("."&amp;$A17, Census_pop_2020_2025!A:A, 0)),INDEX(Census_pop_2020_2025!H:H, MATCH($A17, Census_pop_2020_2025!A:A, 0)))</f>
        <v>2977220</v>
      </c>
      <c r="D17">
        <f>(IFERROR(INDEX(Census_pop_2020_2025!H:H, MATCH("."&amp;$A17, Census_pop_2020_2025!A:A, 0)),INDEX(Census_pop_2020_2025!H:H, MATCH($A17, Census_pop_2020_2025!A:A, 0))))+0.2*((INDEX(Cooper_pop_2030_2050!D:D, MATCH($A17, Cooper_pop_2030_2050!B:B, 0)))-(IFERROR(INDEX(Census_pop_2020_2025!H:H, MATCH("."&amp;$A17, Census_pop_2020_2025!A:A, 0)),INDEX(Census_pop_2020_2025!H:H, MATCH($A17, Census_pop_2020_2025!A:A, 0)))))</f>
        <v>2982318.115615197</v>
      </c>
      <c r="E17">
        <f>(IFERROR(INDEX(Census_pop_2020_2025!H:H, MATCH("."&amp;$A17, Census_pop_2020_2025!A:A, 0)),INDEX(Census_pop_2020_2025!H:H, MATCH($A17, Census_pop_2020_2025!A:A, 0))))+0.4*((INDEX(Cooper_pop_2030_2050!D:D, MATCH($A17, Cooper_pop_2030_2050!B:B, 0)))-(IFERROR(INDEX(Census_pop_2020_2025!H:H, MATCH("."&amp;$A17, Census_pop_2020_2025!A:A, 0)),INDEX(Census_pop_2020_2025!H:H, MATCH($A17, Census_pop_2020_2025!A:A, 0)))))</f>
        <v>2987416.231230394</v>
      </c>
      <c r="F17">
        <f>(IFERROR(INDEX(Census_pop_2020_2025!H:H, MATCH("."&amp;$A17, Census_pop_2020_2025!A:A, 0)),INDEX(Census_pop_2020_2025!H:H, MATCH($A17, Census_pop_2020_2025!A:A, 0))))+0.6*((INDEX(Cooper_pop_2030_2050!D:D, MATCH($A17, Cooper_pop_2030_2050!B:B, 0)))-(IFERROR(INDEX(Census_pop_2020_2025!H:H, MATCH("."&amp;$A17, Census_pop_2020_2025!A:A, 0)),INDEX(Census_pop_2020_2025!H:H, MATCH($A17, Census_pop_2020_2025!A:A, 0)))))</f>
        <v>2992514.346845591</v>
      </c>
      <c r="G17">
        <f>(IFERROR(INDEX(Census_pop_2020_2025!H:H, MATCH("."&amp;$A17, Census_pop_2020_2025!A:A, 0)),INDEX(Census_pop_2020_2025!H:H, MATCH($A17, Census_pop_2020_2025!A:A, 0))))+0.8*((INDEX(Cooper_pop_2030_2050!D:D, MATCH($A17, Cooper_pop_2030_2050!B:B, 0)))-(IFERROR(INDEX(Census_pop_2020_2025!H:H, MATCH("."&amp;$A17, Census_pop_2020_2025!A:A, 0)),INDEX(Census_pop_2020_2025!H:H, MATCH($A17, Census_pop_2020_2025!A:A, 0)))))</f>
        <v>2997612.462460788</v>
      </c>
      <c r="H17">
        <f>INDEX(Cooper_pop_2030_2050!D:D, MATCH($A17, Cooper_pop_2030_2050!B:B, 0))</f>
        <v>3002710.578075985</v>
      </c>
      <c r="I17">
        <f>(INDEX(Cooper_pop_2030_2050!D:D, MATCH($A17, Cooper_pop_2030_2050!B:B, 0)))+0.1*((INDEX(Cooper_pop_2030_2050!E:E, MATCH($A17, Cooper_pop_2030_2050!B:B, 0)))-(INDEX(Cooper_pop_2030_2050!D:D, MATCH($A17, Cooper_pop_2030_2050!B:B, 0))))</f>
        <v>2999711.4607749633</v>
      </c>
      <c r="J17">
        <f>(INDEX(Cooper_pop_2030_2050!D:D, MATCH($A17, Cooper_pop_2030_2050!B:B, 0)))+0.2*((INDEX(Cooper_pop_2030_2050!E:E, MATCH($A17, Cooper_pop_2030_2050!B:B, 0)))-(INDEX(Cooper_pop_2030_2050!D:D, MATCH($A17, Cooper_pop_2030_2050!B:B, 0))))</f>
        <v>2996712.343473942</v>
      </c>
      <c r="K17">
        <f>(INDEX(Cooper_pop_2030_2050!D:D, MATCH($A17, Cooper_pop_2030_2050!B:B, 0)))+0.3*((INDEX(Cooper_pop_2030_2050!E:E, MATCH($A17, Cooper_pop_2030_2050!B:B, 0)))-(INDEX(Cooper_pop_2030_2050!D:D, MATCH($A17, Cooper_pop_2030_2050!B:B, 0))))</f>
        <v>2993713.2261729203</v>
      </c>
      <c r="L17">
        <f>(INDEX(Cooper_pop_2030_2050!D:D, MATCH($A17, Cooper_pop_2030_2050!B:B, 0)))+0.4*((INDEX(Cooper_pop_2030_2050!E:E, MATCH($A17, Cooper_pop_2030_2050!B:B, 0)))-(INDEX(Cooper_pop_2030_2050!D:D, MATCH($A17, Cooper_pop_2030_2050!B:B, 0))))</f>
        <v>2990714.1088718991</v>
      </c>
      <c r="M17">
        <f>(INDEX(Cooper_pop_2030_2050!D:D, MATCH($A17, Cooper_pop_2030_2050!B:B, 0)))+0.5*((INDEX(Cooper_pop_2030_2050!E:E, MATCH($A17, Cooper_pop_2030_2050!B:B, 0)))-(INDEX(Cooper_pop_2030_2050!D:D, MATCH($A17, Cooper_pop_2030_2050!B:B, 0))))</f>
        <v>2987714.9915708774</v>
      </c>
      <c r="N17">
        <f>(INDEX(Cooper_pop_2030_2050!D:D, MATCH($A17, Cooper_pop_2030_2050!B:B, 0)))+0.6*((INDEX(Cooper_pop_2030_2050!E:E, MATCH($A17, Cooper_pop_2030_2050!B:B, 0)))-(INDEX(Cooper_pop_2030_2050!D:D, MATCH($A17, Cooper_pop_2030_2050!B:B, 0))))</f>
        <v>2984715.8742698557</v>
      </c>
      <c r="O17">
        <f>(INDEX(Cooper_pop_2030_2050!D:D, MATCH($A17, Cooper_pop_2030_2050!B:B, 0)))+0.7*((INDEX(Cooper_pop_2030_2050!E:E, MATCH($A17, Cooper_pop_2030_2050!B:B, 0)))-(INDEX(Cooper_pop_2030_2050!D:D, MATCH($A17, Cooper_pop_2030_2050!B:B, 0))))</f>
        <v>2981716.7569688344</v>
      </c>
      <c r="P17">
        <f>(INDEX(Cooper_pop_2030_2050!D:D, MATCH($A17, Cooper_pop_2030_2050!B:B, 0)))+0.8*((INDEX(Cooper_pop_2030_2050!E:E, MATCH($A17, Cooper_pop_2030_2050!B:B, 0)))-(INDEX(Cooper_pop_2030_2050!D:D, MATCH($A17, Cooper_pop_2030_2050!B:B, 0))))</f>
        <v>2978717.6396678127</v>
      </c>
      <c r="Q17">
        <f>(INDEX(Cooper_pop_2030_2050!D:D, MATCH($A17, Cooper_pop_2030_2050!B:B, 0)))+0.9*((INDEX(Cooper_pop_2030_2050!E:E, MATCH($A17, Cooper_pop_2030_2050!B:B, 0)))-(INDEX(Cooper_pop_2030_2050!D:D, MATCH($A17, Cooper_pop_2030_2050!B:B, 0))))</f>
        <v>2975718.5223667915</v>
      </c>
      <c r="R17">
        <f>INDEX(Cooper_pop_2030_2050!E:E, MATCH($A17, Cooper_pop_2030_2050!B:B, 0))</f>
        <v>2972719.4050657698</v>
      </c>
      <c r="S17">
        <f>(INDEX(Cooper_pop_2030_2050!E:E, MATCH($A17, Cooper_pop_2030_2050!B:B, 0)))+0.1*((INDEX(Cooper_pop_2030_2050!F:F, MATCH($A17, Cooper_pop_2030_2050!B:B, 0)))-(INDEX(Cooper_pop_2030_2050!E:E, MATCH($A17, Cooper_pop_2030_2050!B:B, 0))))</f>
        <v>2966301.6333564911</v>
      </c>
      <c r="T17">
        <f>(INDEX(Cooper_pop_2030_2050!E:E, MATCH($A17, Cooper_pop_2030_2050!B:B, 0)))+0.2*((INDEX(Cooper_pop_2030_2050!F:F, MATCH($A17, Cooper_pop_2030_2050!B:B, 0)))-(INDEX(Cooper_pop_2030_2050!E:E, MATCH($A17, Cooper_pop_2030_2050!B:B, 0))))</f>
        <v>2959883.8616472119</v>
      </c>
      <c r="U17">
        <f>(INDEX(Cooper_pop_2030_2050!E:E, MATCH($A17, Cooper_pop_2030_2050!B:B, 0)))+0.3*((INDEX(Cooper_pop_2030_2050!F:F, MATCH($A17, Cooper_pop_2030_2050!B:B, 0)))-(INDEX(Cooper_pop_2030_2050!E:E, MATCH($A17, Cooper_pop_2030_2050!B:B, 0))))</f>
        <v>2953466.0899379333</v>
      </c>
      <c r="V17">
        <f>(INDEX(Cooper_pop_2030_2050!E:E, MATCH($A17, Cooper_pop_2030_2050!B:B, 0)))+0.4*((INDEX(Cooper_pop_2030_2050!F:F, MATCH($A17, Cooper_pop_2030_2050!B:B, 0)))-(INDEX(Cooper_pop_2030_2050!E:E, MATCH($A17, Cooper_pop_2030_2050!B:B, 0))))</f>
        <v>2947048.3182286541</v>
      </c>
      <c r="W17">
        <f>(INDEX(Cooper_pop_2030_2050!E:E, MATCH($A17, Cooper_pop_2030_2050!B:B, 0)))+0.5*((INDEX(Cooper_pop_2030_2050!F:F, MATCH($A17, Cooper_pop_2030_2050!B:B, 0)))-(INDEX(Cooper_pop_2030_2050!E:E, MATCH($A17, Cooper_pop_2030_2050!B:B, 0))))</f>
        <v>2940630.5465193754</v>
      </c>
      <c r="X17">
        <f>(INDEX(Cooper_pop_2030_2050!E:E, MATCH($A17, Cooper_pop_2030_2050!B:B, 0)))+0.6*((INDEX(Cooper_pop_2030_2050!F:F, MATCH($A17, Cooper_pop_2030_2050!B:B, 0)))-(INDEX(Cooper_pop_2030_2050!E:E, MATCH($A17, Cooper_pop_2030_2050!B:B, 0))))</f>
        <v>2934212.7748100967</v>
      </c>
      <c r="Y17">
        <f>(INDEX(Cooper_pop_2030_2050!E:E, MATCH($A17, Cooper_pop_2030_2050!B:B, 0)))+0.7*((INDEX(Cooper_pop_2030_2050!F:F, MATCH($A17, Cooper_pop_2030_2050!B:B, 0)))-(INDEX(Cooper_pop_2030_2050!E:E, MATCH($A17, Cooper_pop_2030_2050!B:B, 0))))</f>
        <v>2927795.0031008176</v>
      </c>
      <c r="Z17">
        <f>(INDEX(Cooper_pop_2030_2050!E:E, MATCH($A17, Cooper_pop_2030_2050!B:B, 0)))+0.8*((INDEX(Cooper_pop_2030_2050!F:F, MATCH($A17, Cooper_pop_2030_2050!B:B, 0)))-(INDEX(Cooper_pop_2030_2050!E:E, MATCH($A17, Cooper_pop_2030_2050!B:B, 0))))</f>
        <v>2921377.2313915389</v>
      </c>
      <c r="AA17">
        <f>(INDEX(Cooper_pop_2030_2050!E:E, MATCH($A17, Cooper_pop_2030_2050!B:B, 0)))+0.9*((INDEX(Cooper_pop_2030_2050!F:F, MATCH($A17, Cooper_pop_2030_2050!B:B, 0)))-(INDEX(Cooper_pop_2030_2050!E:E, MATCH($A17, Cooper_pop_2030_2050!B:B, 0))))</f>
        <v>2914959.4596822597</v>
      </c>
      <c r="AB17">
        <f>INDEX(Cooper_pop_2030_2050!F:F, MATCH($A17, Cooper_pop_2030_2050!B:B, 0))</f>
        <v>2908541.687972981</v>
      </c>
    </row>
    <row r="18" spans="1:28">
      <c r="A18" t="s">
        <v>2902</v>
      </c>
      <c r="B18">
        <f>IFERROR(INDEX(Census_pop_2020_2025!G:G, MATCH("."&amp;$A18, Census_pop_2020_2025!A:A, 0)),INDEX(Census_pop_2020_2025!G:G, MATCH($A18, Census_pop_2020_2025!A:A, 0)))</f>
        <v>4584046</v>
      </c>
      <c r="C18">
        <f>IFERROR(INDEX(Census_pop_2020_2025!H:H, MATCH("."&amp;$A18, Census_pop_2020_2025!A:A, 0)),INDEX(Census_pop_2020_2025!H:H, MATCH($A18, Census_pop_2020_2025!A:A, 0)))</f>
        <v>4606864</v>
      </c>
      <c r="D18">
        <f>(IFERROR(INDEX(Census_pop_2020_2025!H:H, MATCH("."&amp;$A18, Census_pop_2020_2025!A:A, 0)),INDEX(Census_pop_2020_2025!H:H, MATCH($A18, Census_pop_2020_2025!A:A, 0))))+0.2*((INDEX(Cooper_pop_2030_2050!D:D, MATCH($A18, Cooper_pop_2030_2050!B:B, 0)))-(IFERROR(INDEX(Census_pop_2020_2025!H:H, MATCH("."&amp;$A18, Census_pop_2020_2025!A:A, 0)),INDEX(Census_pop_2020_2025!H:H, MATCH($A18, Census_pop_2020_2025!A:A, 0)))))</f>
        <v>4612267.3668296207</v>
      </c>
      <c r="E18">
        <f>(IFERROR(INDEX(Census_pop_2020_2025!H:H, MATCH("."&amp;$A18, Census_pop_2020_2025!A:A, 0)),INDEX(Census_pop_2020_2025!H:H, MATCH($A18, Census_pop_2020_2025!A:A, 0))))+0.4*((INDEX(Cooper_pop_2030_2050!D:D, MATCH($A18, Cooper_pop_2030_2050!B:B, 0)))-(IFERROR(INDEX(Census_pop_2020_2025!H:H, MATCH("."&amp;$A18, Census_pop_2020_2025!A:A, 0)),INDEX(Census_pop_2020_2025!H:H, MATCH($A18, Census_pop_2020_2025!A:A, 0)))))</f>
        <v>4617670.7336592413</v>
      </c>
      <c r="F18">
        <f>(IFERROR(INDEX(Census_pop_2020_2025!H:H, MATCH("."&amp;$A18, Census_pop_2020_2025!A:A, 0)),INDEX(Census_pop_2020_2025!H:H, MATCH($A18, Census_pop_2020_2025!A:A, 0))))+0.6*((INDEX(Cooper_pop_2030_2050!D:D, MATCH($A18, Cooper_pop_2030_2050!B:B, 0)))-(IFERROR(INDEX(Census_pop_2020_2025!H:H, MATCH("."&amp;$A18, Census_pop_2020_2025!A:A, 0)),INDEX(Census_pop_2020_2025!H:H, MATCH($A18, Census_pop_2020_2025!A:A, 0)))))</f>
        <v>4623074.100488862</v>
      </c>
      <c r="G18">
        <f>(IFERROR(INDEX(Census_pop_2020_2025!H:H, MATCH("."&amp;$A18, Census_pop_2020_2025!A:A, 0)),INDEX(Census_pop_2020_2025!H:H, MATCH($A18, Census_pop_2020_2025!A:A, 0))))+0.8*((INDEX(Cooper_pop_2030_2050!D:D, MATCH($A18, Cooper_pop_2030_2050!B:B, 0)))-(IFERROR(INDEX(Census_pop_2020_2025!H:H, MATCH("."&amp;$A18, Census_pop_2020_2025!A:A, 0)),INDEX(Census_pop_2020_2025!H:H, MATCH($A18, Census_pop_2020_2025!A:A, 0)))))</f>
        <v>4628477.4673184827</v>
      </c>
      <c r="H18">
        <f>INDEX(Cooper_pop_2030_2050!D:D, MATCH($A18, Cooper_pop_2030_2050!B:B, 0))</f>
        <v>4633880.8341481034</v>
      </c>
      <c r="I18">
        <f>(INDEX(Cooper_pop_2030_2050!D:D, MATCH($A18, Cooper_pop_2030_2050!B:B, 0)))+0.1*((INDEX(Cooper_pop_2030_2050!E:E, MATCH($A18, Cooper_pop_2030_2050!B:B, 0)))-(INDEX(Cooper_pop_2030_2050!D:D, MATCH($A18, Cooper_pop_2030_2050!B:B, 0))))</f>
        <v>4633108.0431924937</v>
      </c>
      <c r="J18">
        <f>(INDEX(Cooper_pop_2030_2050!D:D, MATCH($A18, Cooper_pop_2030_2050!B:B, 0)))+0.2*((INDEX(Cooper_pop_2030_2050!E:E, MATCH($A18, Cooper_pop_2030_2050!B:B, 0)))-(INDEX(Cooper_pop_2030_2050!D:D, MATCH($A18, Cooper_pop_2030_2050!B:B, 0))))</f>
        <v>4632335.2522368841</v>
      </c>
      <c r="K18">
        <f>(INDEX(Cooper_pop_2030_2050!D:D, MATCH($A18, Cooper_pop_2030_2050!B:B, 0)))+0.3*((INDEX(Cooper_pop_2030_2050!E:E, MATCH($A18, Cooper_pop_2030_2050!B:B, 0)))-(INDEX(Cooper_pop_2030_2050!D:D, MATCH($A18, Cooper_pop_2030_2050!B:B, 0))))</f>
        <v>4631562.4612812744</v>
      </c>
      <c r="L18">
        <f>(INDEX(Cooper_pop_2030_2050!D:D, MATCH($A18, Cooper_pop_2030_2050!B:B, 0)))+0.4*((INDEX(Cooper_pop_2030_2050!E:E, MATCH($A18, Cooper_pop_2030_2050!B:B, 0)))-(INDEX(Cooper_pop_2030_2050!D:D, MATCH($A18, Cooper_pop_2030_2050!B:B, 0))))</f>
        <v>4630789.6703256648</v>
      </c>
      <c r="M18">
        <f>(INDEX(Cooper_pop_2030_2050!D:D, MATCH($A18, Cooper_pop_2030_2050!B:B, 0)))+0.5*((INDEX(Cooper_pop_2030_2050!E:E, MATCH($A18, Cooper_pop_2030_2050!B:B, 0)))-(INDEX(Cooper_pop_2030_2050!D:D, MATCH($A18, Cooper_pop_2030_2050!B:B, 0))))</f>
        <v>4630016.8793700542</v>
      </c>
      <c r="N18">
        <f>(INDEX(Cooper_pop_2030_2050!D:D, MATCH($A18, Cooper_pop_2030_2050!B:B, 0)))+0.6*((INDEX(Cooper_pop_2030_2050!E:E, MATCH($A18, Cooper_pop_2030_2050!B:B, 0)))-(INDEX(Cooper_pop_2030_2050!D:D, MATCH($A18, Cooper_pop_2030_2050!B:B, 0))))</f>
        <v>4629244.0884144446</v>
      </c>
      <c r="O18">
        <f>(INDEX(Cooper_pop_2030_2050!D:D, MATCH($A18, Cooper_pop_2030_2050!B:B, 0)))+0.7*((INDEX(Cooper_pop_2030_2050!E:E, MATCH($A18, Cooper_pop_2030_2050!B:B, 0)))-(INDEX(Cooper_pop_2030_2050!D:D, MATCH($A18, Cooper_pop_2030_2050!B:B, 0))))</f>
        <v>4628471.2974588349</v>
      </c>
      <c r="P18">
        <f>(INDEX(Cooper_pop_2030_2050!D:D, MATCH($A18, Cooper_pop_2030_2050!B:B, 0)))+0.8*((INDEX(Cooper_pop_2030_2050!E:E, MATCH($A18, Cooper_pop_2030_2050!B:B, 0)))-(INDEX(Cooper_pop_2030_2050!D:D, MATCH($A18, Cooper_pop_2030_2050!B:B, 0))))</f>
        <v>4627698.5065032253</v>
      </c>
      <c r="Q18">
        <f>(INDEX(Cooper_pop_2030_2050!D:D, MATCH($A18, Cooper_pop_2030_2050!B:B, 0)))+0.9*((INDEX(Cooper_pop_2030_2050!E:E, MATCH($A18, Cooper_pop_2030_2050!B:B, 0)))-(INDEX(Cooper_pop_2030_2050!D:D, MATCH($A18, Cooper_pop_2030_2050!B:B, 0))))</f>
        <v>4626925.7155476157</v>
      </c>
      <c r="R18">
        <f>INDEX(Cooper_pop_2030_2050!E:E, MATCH($A18, Cooper_pop_2030_2050!B:B, 0))</f>
        <v>4626152.924592006</v>
      </c>
      <c r="S18">
        <f>(INDEX(Cooper_pop_2030_2050!E:E, MATCH($A18, Cooper_pop_2030_2050!B:B, 0)))+0.1*((INDEX(Cooper_pop_2030_2050!F:F, MATCH($A18, Cooper_pop_2030_2050!B:B, 0)))-(INDEX(Cooper_pop_2030_2050!E:E, MATCH($A18, Cooper_pop_2030_2050!B:B, 0))))</f>
        <v>4619969.5843802337</v>
      </c>
      <c r="T18">
        <f>(INDEX(Cooper_pop_2030_2050!E:E, MATCH($A18, Cooper_pop_2030_2050!B:B, 0)))+0.2*((INDEX(Cooper_pop_2030_2050!F:F, MATCH($A18, Cooper_pop_2030_2050!B:B, 0)))-(INDEX(Cooper_pop_2030_2050!E:E, MATCH($A18, Cooper_pop_2030_2050!B:B, 0))))</f>
        <v>4613786.2441684622</v>
      </c>
      <c r="U18">
        <f>(INDEX(Cooper_pop_2030_2050!E:E, MATCH($A18, Cooper_pop_2030_2050!B:B, 0)))+0.3*((INDEX(Cooper_pop_2030_2050!F:F, MATCH($A18, Cooper_pop_2030_2050!B:B, 0)))-(INDEX(Cooper_pop_2030_2050!E:E, MATCH($A18, Cooper_pop_2030_2050!B:B, 0))))</f>
        <v>4607602.9039566899</v>
      </c>
      <c r="V18">
        <f>(INDEX(Cooper_pop_2030_2050!E:E, MATCH($A18, Cooper_pop_2030_2050!B:B, 0)))+0.4*((INDEX(Cooper_pop_2030_2050!F:F, MATCH($A18, Cooper_pop_2030_2050!B:B, 0)))-(INDEX(Cooper_pop_2030_2050!E:E, MATCH($A18, Cooper_pop_2030_2050!B:B, 0))))</f>
        <v>4601419.5637449184</v>
      </c>
      <c r="W18">
        <f>(INDEX(Cooper_pop_2030_2050!E:E, MATCH($A18, Cooper_pop_2030_2050!B:B, 0)))+0.5*((INDEX(Cooper_pop_2030_2050!F:F, MATCH($A18, Cooper_pop_2030_2050!B:B, 0)))-(INDEX(Cooper_pop_2030_2050!E:E, MATCH($A18, Cooper_pop_2030_2050!B:B, 0))))</f>
        <v>4595236.2235331461</v>
      </c>
      <c r="X18">
        <f>(INDEX(Cooper_pop_2030_2050!E:E, MATCH($A18, Cooper_pop_2030_2050!B:B, 0)))+0.6*((INDEX(Cooper_pop_2030_2050!F:F, MATCH($A18, Cooper_pop_2030_2050!B:B, 0)))-(INDEX(Cooper_pop_2030_2050!E:E, MATCH($A18, Cooper_pop_2030_2050!B:B, 0))))</f>
        <v>4589052.8833213737</v>
      </c>
      <c r="Y18">
        <f>(INDEX(Cooper_pop_2030_2050!E:E, MATCH($A18, Cooper_pop_2030_2050!B:B, 0)))+0.7*((INDEX(Cooper_pop_2030_2050!F:F, MATCH($A18, Cooper_pop_2030_2050!B:B, 0)))-(INDEX(Cooper_pop_2030_2050!E:E, MATCH($A18, Cooper_pop_2030_2050!B:B, 0))))</f>
        <v>4582869.5431096023</v>
      </c>
      <c r="Z18">
        <f>(INDEX(Cooper_pop_2030_2050!E:E, MATCH($A18, Cooper_pop_2030_2050!B:B, 0)))+0.8*((INDEX(Cooper_pop_2030_2050!F:F, MATCH($A18, Cooper_pop_2030_2050!B:B, 0)))-(INDEX(Cooper_pop_2030_2050!E:E, MATCH($A18, Cooper_pop_2030_2050!B:B, 0))))</f>
        <v>4576686.2028978299</v>
      </c>
      <c r="AA18">
        <f>(INDEX(Cooper_pop_2030_2050!E:E, MATCH($A18, Cooper_pop_2030_2050!B:B, 0)))+0.9*((INDEX(Cooper_pop_2030_2050!F:F, MATCH($A18, Cooper_pop_2030_2050!B:B, 0)))-(INDEX(Cooper_pop_2030_2050!E:E, MATCH($A18, Cooper_pop_2030_2050!B:B, 0))))</f>
        <v>4570502.8626860585</v>
      </c>
      <c r="AB18">
        <f>INDEX(Cooper_pop_2030_2050!F:F, MATCH($A18, Cooper_pop_2030_2050!B:B, 0))</f>
        <v>4564319.5224742861</v>
      </c>
    </row>
    <row r="19" spans="1:28">
      <c r="A19" t="s">
        <v>2903</v>
      </c>
      <c r="B19">
        <f>IFERROR(INDEX(Census_pop_2020_2025!G:G, MATCH("."&amp;$A19, Census_pop_2020_2025!A:A, 0)),INDEX(Census_pop_2020_2025!G:G, MATCH($A19, Census_pop_2020_2025!A:A, 0)))</f>
        <v>4614878</v>
      </c>
      <c r="C19">
        <f>IFERROR(INDEX(Census_pop_2020_2025!H:H, MATCH("."&amp;$A19, Census_pop_2020_2025!A:A, 0)),INDEX(Census_pop_2020_2025!H:H, MATCH($A19, Census_pop_2020_2025!A:A, 0)))</f>
        <v>4618189</v>
      </c>
      <c r="D19">
        <f>(IFERROR(INDEX(Census_pop_2020_2025!H:H, MATCH("."&amp;$A19, Census_pop_2020_2025!A:A, 0)),INDEX(Census_pop_2020_2025!H:H, MATCH($A19, Census_pop_2020_2025!A:A, 0))))+0.2*((INDEX(Cooper_pop_2030_2050!D:D, MATCH($A19, Cooper_pop_2030_2050!B:B, 0)))-(IFERROR(INDEX(Census_pop_2020_2025!H:H, MATCH("."&amp;$A19, Census_pop_2020_2025!A:A, 0)),INDEX(Census_pop_2020_2025!H:H, MATCH($A19, Census_pop_2020_2025!A:A, 0)))))</f>
        <v>4645101.6330057848</v>
      </c>
      <c r="E19">
        <f>(IFERROR(INDEX(Census_pop_2020_2025!H:H, MATCH("."&amp;$A19, Census_pop_2020_2025!A:A, 0)),INDEX(Census_pop_2020_2025!H:H, MATCH($A19, Census_pop_2020_2025!A:A, 0))))+0.4*((INDEX(Cooper_pop_2030_2050!D:D, MATCH($A19, Cooper_pop_2030_2050!B:B, 0)))-(IFERROR(INDEX(Census_pop_2020_2025!H:H, MATCH("."&amp;$A19, Census_pop_2020_2025!A:A, 0)),INDEX(Census_pop_2020_2025!H:H, MATCH($A19, Census_pop_2020_2025!A:A, 0)))))</f>
        <v>4672014.2660115696</v>
      </c>
      <c r="F19">
        <f>(IFERROR(INDEX(Census_pop_2020_2025!H:H, MATCH("."&amp;$A19, Census_pop_2020_2025!A:A, 0)),INDEX(Census_pop_2020_2025!H:H, MATCH($A19, Census_pop_2020_2025!A:A, 0))))+0.6*((INDEX(Cooper_pop_2030_2050!D:D, MATCH($A19, Cooper_pop_2030_2050!B:B, 0)))-(IFERROR(INDEX(Census_pop_2020_2025!H:H, MATCH("."&amp;$A19, Census_pop_2020_2025!A:A, 0)),INDEX(Census_pop_2020_2025!H:H, MATCH($A19, Census_pop_2020_2025!A:A, 0)))))</f>
        <v>4698926.8990173535</v>
      </c>
      <c r="G19">
        <f>(IFERROR(INDEX(Census_pop_2020_2025!H:H, MATCH("."&amp;$A19, Census_pop_2020_2025!A:A, 0)),INDEX(Census_pop_2020_2025!H:H, MATCH($A19, Census_pop_2020_2025!A:A, 0))))+0.8*((INDEX(Cooper_pop_2030_2050!D:D, MATCH($A19, Cooper_pop_2030_2050!B:B, 0)))-(IFERROR(INDEX(Census_pop_2020_2025!H:H, MATCH("."&amp;$A19, Census_pop_2020_2025!A:A, 0)),INDEX(Census_pop_2020_2025!H:H, MATCH($A19, Census_pop_2020_2025!A:A, 0)))))</f>
        <v>4725839.5320231384</v>
      </c>
      <c r="H19">
        <f>INDEX(Cooper_pop_2030_2050!D:D, MATCH($A19, Cooper_pop_2030_2050!B:B, 0))</f>
        <v>4752752.1650289232</v>
      </c>
      <c r="I19">
        <f>(INDEX(Cooper_pop_2030_2050!D:D, MATCH($A19, Cooper_pop_2030_2050!B:B, 0)))+0.1*((INDEX(Cooper_pop_2030_2050!E:E, MATCH($A19, Cooper_pop_2030_2050!B:B, 0)))-(INDEX(Cooper_pop_2030_2050!D:D, MATCH($A19, Cooper_pop_2030_2050!B:B, 0))))</f>
        <v>4746967.398697637</v>
      </c>
      <c r="J19">
        <f>(INDEX(Cooper_pop_2030_2050!D:D, MATCH($A19, Cooper_pop_2030_2050!B:B, 0)))+0.2*((INDEX(Cooper_pop_2030_2050!E:E, MATCH($A19, Cooper_pop_2030_2050!B:B, 0)))-(INDEX(Cooper_pop_2030_2050!D:D, MATCH($A19, Cooper_pop_2030_2050!B:B, 0))))</f>
        <v>4741182.6323663509</v>
      </c>
      <c r="K19">
        <f>(INDEX(Cooper_pop_2030_2050!D:D, MATCH($A19, Cooper_pop_2030_2050!B:B, 0)))+0.3*((INDEX(Cooper_pop_2030_2050!E:E, MATCH($A19, Cooper_pop_2030_2050!B:B, 0)))-(INDEX(Cooper_pop_2030_2050!D:D, MATCH($A19, Cooper_pop_2030_2050!B:B, 0))))</f>
        <v>4735397.8660350647</v>
      </c>
      <c r="L19">
        <f>(INDEX(Cooper_pop_2030_2050!D:D, MATCH($A19, Cooper_pop_2030_2050!B:B, 0)))+0.4*((INDEX(Cooper_pop_2030_2050!E:E, MATCH($A19, Cooper_pop_2030_2050!B:B, 0)))-(INDEX(Cooper_pop_2030_2050!D:D, MATCH($A19, Cooper_pop_2030_2050!B:B, 0))))</f>
        <v>4729613.0997037785</v>
      </c>
      <c r="M19">
        <f>(INDEX(Cooper_pop_2030_2050!D:D, MATCH($A19, Cooper_pop_2030_2050!B:B, 0)))+0.5*((INDEX(Cooper_pop_2030_2050!E:E, MATCH($A19, Cooper_pop_2030_2050!B:B, 0)))-(INDEX(Cooper_pop_2030_2050!D:D, MATCH($A19, Cooper_pop_2030_2050!B:B, 0))))</f>
        <v>4723828.3333724923</v>
      </c>
      <c r="N19">
        <f>(INDEX(Cooper_pop_2030_2050!D:D, MATCH($A19, Cooper_pop_2030_2050!B:B, 0)))+0.6*((INDEX(Cooper_pop_2030_2050!E:E, MATCH($A19, Cooper_pop_2030_2050!B:B, 0)))-(INDEX(Cooper_pop_2030_2050!D:D, MATCH($A19, Cooper_pop_2030_2050!B:B, 0))))</f>
        <v>4718043.5670412052</v>
      </c>
      <c r="O19">
        <f>(INDEX(Cooper_pop_2030_2050!D:D, MATCH($A19, Cooper_pop_2030_2050!B:B, 0)))+0.7*((INDEX(Cooper_pop_2030_2050!E:E, MATCH($A19, Cooper_pop_2030_2050!B:B, 0)))-(INDEX(Cooper_pop_2030_2050!D:D, MATCH($A19, Cooper_pop_2030_2050!B:B, 0))))</f>
        <v>4712258.8007099191</v>
      </c>
      <c r="P19">
        <f>(INDEX(Cooper_pop_2030_2050!D:D, MATCH($A19, Cooper_pop_2030_2050!B:B, 0)))+0.8*((INDEX(Cooper_pop_2030_2050!E:E, MATCH($A19, Cooper_pop_2030_2050!B:B, 0)))-(INDEX(Cooper_pop_2030_2050!D:D, MATCH($A19, Cooper_pop_2030_2050!B:B, 0))))</f>
        <v>4706474.0343786329</v>
      </c>
      <c r="Q19">
        <f>(INDEX(Cooper_pop_2030_2050!D:D, MATCH($A19, Cooper_pop_2030_2050!B:B, 0)))+0.9*((INDEX(Cooper_pop_2030_2050!E:E, MATCH($A19, Cooper_pop_2030_2050!B:B, 0)))-(INDEX(Cooper_pop_2030_2050!D:D, MATCH($A19, Cooper_pop_2030_2050!B:B, 0))))</f>
        <v>4700689.2680473467</v>
      </c>
      <c r="R19">
        <f>INDEX(Cooper_pop_2030_2050!E:E, MATCH($A19, Cooper_pop_2030_2050!B:B, 0))</f>
        <v>4694904.5017160606</v>
      </c>
      <c r="S19">
        <f>(INDEX(Cooper_pop_2030_2050!E:E, MATCH($A19, Cooper_pop_2030_2050!B:B, 0)))+0.1*((INDEX(Cooper_pop_2030_2050!F:F, MATCH($A19, Cooper_pop_2030_2050!B:B, 0)))-(INDEX(Cooper_pop_2030_2050!E:E, MATCH($A19, Cooper_pop_2030_2050!B:B, 0))))</f>
        <v>4683755.6635519266</v>
      </c>
      <c r="T19">
        <f>(INDEX(Cooper_pop_2030_2050!E:E, MATCH($A19, Cooper_pop_2030_2050!B:B, 0)))+0.2*((INDEX(Cooper_pop_2030_2050!F:F, MATCH($A19, Cooper_pop_2030_2050!B:B, 0)))-(INDEX(Cooper_pop_2030_2050!E:E, MATCH($A19, Cooper_pop_2030_2050!B:B, 0))))</f>
        <v>4672606.8253877936</v>
      </c>
      <c r="U19">
        <f>(INDEX(Cooper_pop_2030_2050!E:E, MATCH($A19, Cooper_pop_2030_2050!B:B, 0)))+0.3*((INDEX(Cooper_pop_2030_2050!F:F, MATCH($A19, Cooper_pop_2030_2050!B:B, 0)))-(INDEX(Cooper_pop_2030_2050!E:E, MATCH($A19, Cooper_pop_2030_2050!B:B, 0))))</f>
        <v>4661457.9872236596</v>
      </c>
      <c r="V19">
        <f>(INDEX(Cooper_pop_2030_2050!E:E, MATCH($A19, Cooper_pop_2030_2050!B:B, 0)))+0.4*((INDEX(Cooper_pop_2030_2050!F:F, MATCH($A19, Cooper_pop_2030_2050!B:B, 0)))-(INDEX(Cooper_pop_2030_2050!E:E, MATCH($A19, Cooper_pop_2030_2050!B:B, 0))))</f>
        <v>4650309.1490595266</v>
      </c>
      <c r="W19">
        <f>(INDEX(Cooper_pop_2030_2050!E:E, MATCH($A19, Cooper_pop_2030_2050!B:B, 0)))+0.5*((INDEX(Cooper_pop_2030_2050!F:F, MATCH($A19, Cooper_pop_2030_2050!B:B, 0)))-(INDEX(Cooper_pop_2030_2050!E:E, MATCH($A19, Cooper_pop_2030_2050!B:B, 0))))</f>
        <v>4639160.3108953927</v>
      </c>
      <c r="X19">
        <f>(INDEX(Cooper_pop_2030_2050!E:E, MATCH($A19, Cooper_pop_2030_2050!B:B, 0)))+0.6*((INDEX(Cooper_pop_2030_2050!F:F, MATCH($A19, Cooper_pop_2030_2050!B:B, 0)))-(INDEX(Cooper_pop_2030_2050!E:E, MATCH($A19, Cooper_pop_2030_2050!B:B, 0))))</f>
        <v>4628011.4727312587</v>
      </c>
      <c r="Y19">
        <f>(INDEX(Cooper_pop_2030_2050!E:E, MATCH($A19, Cooper_pop_2030_2050!B:B, 0)))+0.7*((INDEX(Cooper_pop_2030_2050!F:F, MATCH($A19, Cooper_pop_2030_2050!B:B, 0)))-(INDEX(Cooper_pop_2030_2050!E:E, MATCH($A19, Cooper_pop_2030_2050!B:B, 0))))</f>
        <v>4616862.6345671257</v>
      </c>
      <c r="Z19">
        <f>(INDEX(Cooper_pop_2030_2050!E:E, MATCH($A19, Cooper_pop_2030_2050!B:B, 0)))+0.8*((INDEX(Cooper_pop_2030_2050!F:F, MATCH($A19, Cooper_pop_2030_2050!B:B, 0)))-(INDEX(Cooper_pop_2030_2050!E:E, MATCH($A19, Cooper_pop_2030_2050!B:B, 0))))</f>
        <v>4605713.7964029917</v>
      </c>
      <c r="AA19">
        <f>(INDEX(Cooper_pop_2030_2050!E:E, MATCH($A19, Cooper_pop_2030_2050!B:B, 0)))+0.9*((INDEX(Cooper_pop_2030_2050!F:F, MATCH($A19, Cooper_pop_2030_2050!B:B, 0)))-(INDEX(Cooper_pop_2030_2050!E:E, MATCH($A19, Cooper_pop_2030_2050!B:B, 0))))</f>
        <v>4594564.9582388587</v>
      </c>
      <c r="AB19">
        <f>INDEX(Cooper_pop_2030_2050!F:F, MATCH($A19, Cooper_pop_2030_2050!B:B, 0))</f>
        <v>4583416.1200747248</v>
      </c>
    </row>
    <row r="20" spans="1:28">
      <c r="A20" t="s">
        <v>2904</v>
      </c>
      <c r="B20">
        <f>IFERROR(INDEX(Census_pop_2020_2025!G:G, MATCH("."&amp;$A20, Census_pop_2020_2025!A:A, 0)),INDEX(Census_pop_2020_2025!G:G, MATCH($A20, Census_pop_2020_2025!A:A, 0)))</f>
        <v>1408438</v>
      </c>
      <c r="C20">
        <f>IFERROR(INDEX(Census_pop_2020_2025!H:H, MATCH("."&amp;$A20, Census_pop_2020_2025!A:A, 0)),INDEX(Census_pop_2020_2025!H:H, MATCH($A20, Census_pop_2020_2025!A:A, 0)))</f>
        <v>1414874</v>
      </c>
      <c r="D20">
        <f>(IFERROR(INDEX(Census_pop_2020_2025!H:H, MATCH("."&amp;$A20, Census_pop_2020_2025!A:A, 0)),INDEX(Census_pop_2020_2025!H:H, MATCH($A20, Census_pop_2020_2025!A:A, 0))))+0.2*((INDEX(Cooper_pop_2030_2050!D:D, MATCH($A20, Cooper_pop_2030_2050!B:B, 0)))-(IFERROR(INDEX(Census_pop_2020_2025!H:H, MATCH("."&amp;$A20, Census_pop_2020_2025!A:A, 0)),INDEX(Census_pop_2020_2025!H:H, MATCH($A20, Census_pop_2020_2025!A:A, 0)))))</f>
        <v>1409557.7142983722</v>
      </c>
      <c r="E20">
        <f>(IFERROR(INDEX(Census_pop_2020_2025!H:H, MATCH("."&amp;$A20, Census_pop_2020_2025!A:A, 0)),INDEX(Census_pop_2020_2025!H:H, MATCH($A20, Census_pop_2020_2025!A:A, 0))))+0.4*((INDEX(Cooper_pop_2030_2050!D:D, MATCH($A20, Cooper_pop_2030_2050!B:B, 0)))-(IFERROR(INDEX(Census_pop_2020_2025!H:H, MATCH("."&amp;$A20, Census_pop_2020_2025!A:A, 0)),INDEX(Census_pop_2020_2025!H:H, MATCH($A20, Census_pop_2020_2025!A:A, 0)))))</f>
        <v>1404241.4285967443</v>
      </c>
      <c r="F20">
        <f>(IFERROR(INDEX(Census_pop_2020_2025!H:H, MATCH("."&amp;$A20, Census_pop_2020_2025!A:A, 0)),INDEX(Census_pop_2020_2025!H:H, MATCH($A20, Census_pop_2020_2025!A:A, 0))))+0.6*((INDEX(Cooper_pop_2030_2050!D:D, MATCH($A20, Cooper_pop_2030_2050!B:B, 0)))-(IFERROR(INDEX(Census_pop_2020_2025!H:H, MATCH("."&amp;$A20, Census_pop_2020_2025!A:A, 0)),INDEX(Census_pop_2020_2025!H:H, MATCH($A20, Census_pop_2020_2025!A:A, 0)))))</f>
        <v>1398925.1428951167</v>
      </c>
      <c r="G20">
        <f>(IFERROR(INDEX(Census_pop_2020_2025!H:H, MATCH("."&amp;$A20, Census_pop_2020_2025!A:A, 0)),INDEX(Census_pop_2020_2025!H:H, MATCH($A20, Census_pop_2020_2025!A:A, 0))))+0.8*((INDEX(Cooper_pop_2030_2050!D:D, MATCH($A20, Cooper_pop_2030_2050!B:B, 0)))-(IFERROR(INDEX(Census_pop_2020_2025!H:H, MATCH("."&amp;$A20, Census_pop_2020_2025!A:A, 0)),INDEX(Census_pop_2020_2025!H:H, MATCH($A20, Census_pop_2020_2025!A:A, 0)))))</f>
        <v>1393608.8571934889</v>
      </c>
      <c r="H20">
        <f>INDEX(Cooper_pop_2030_2050!D:D, MATCH($A20, Cooper_pop_2030_2050!B:B, 0))</f>
        <v>1388292.571491861</v>
      </c>
      <c r="I20">
        <f>(INDEX(Cooper_pop_2030_2050!D:D, MATCH($A20, Cooper_pop_2030_2050!B:B, 0)))+0.1*((INDEX(Cooper_pop_2030_2050!E:E, MATCH($A20, Cooper_pop_2030_2050!B:B, 0)))-(INDEX(Cooper_pop_2030_2050!D:D, MATCH($A20, Cooper_pop_2030_2050!B:B, 0))))</f>
        <v>1386356.7343629501</v>
      </c>
      <c r="J20">
        <f>(INDEX(Cooper_pop_2030_2050!D:D, MATCH($A20, Cooper_pop_2030_2050!B:B, 0)))+0.2*((INDEX(Cooper_pop_2030_2050!E:E, MATCH($A20, Cooper_pop_2030_2050!B:B, 0)))-(INDEX(Cooper_pop_2030_2050!D:D, MATCH($A20, Cooper_pop_2030_2050!B:B, 0))))</f>
        <v>1384420.8972340389</v>
      </c>
      <c r="K20">
        <f>(INDEX(Cooper_pop_2030_2050!D:D, MATCH($A20, Cooper_pop_2030_2050!B:B, 0)))+0.3*((INDEX(Cooper_pop_2030_2050!E:E, MATCH($A20, Cooper_pop_2030_2050!B:B, 0)))-(INDEX(Cooper_pop_2030_2050!D:D, MATCH($A20, Cooper_pop_2030_2050!B:B, 0))))</f>
        <v>1382485.060105128</v>
      </c>
      <c r="L20">
        <f>(INDEX(Cooper_pop_2030_2050!D:D, MATCH($A20, Cooper_pop_2030_2050!B:B, 0)))+0.4*((INDEX(Cooper_pop_2030_2050!E:E, MATCH($A20, Cooper_pop_2030_2050!B:B, 0)))-(INDEX(Cooper_pop_2030_2050!D:D, MATCH($A20, Cooper_pop_2030_2050!B:B, 0))))</f>
        <v>1380549.222976217</v>
      </c>
      <c r="M20">
        <f>(INDEX(Cooper_pop_2030_2050!D:D, MATCH($A20, Cooper_pop_2030_2050!B:B, 0)))+0.5*((INDEX(Cooper_pop_2030_2050!E:E, MATCH($A20, Cooper_pop_2030_2050!B:B, 0)))-(INDEX(Cooper_pop_2030_2050!D:D, MATCH($A20, Cooper_pop_2030_2050!B:B, 0))))</f>
        <v>1378613.3858473059</v>
      </c>
      <c r="N20">
        <f>(INDEX(Cooper_pop_2030_2050!D:D, MATCH($A20, Cooper_pop_2030_2050!B:B, 0)))+0.6*((INDEX(Cooper_pop_2030_2050!E:E, MATCH($A20, Cooper_pop_2030_2050!B:B, 0)))-(INDEX(Cooper_pop_2030_2050!D:D, MATCH($A20, Cooper_pop_2030_2050!B:B, 0))))</f>
        <v>1376677.5487183949</v>
      </c>
      <c r="O20">
        <f>(INDEX(Cooper_pop_2030_2050!D:D, MATCH($A20, Cooper_pop_2030_2050!B:B, 0)))+0.7*((INDEX(Cooper_pop_2030_2050!E:E, MATCH($A20, Cooper_pop_2030_2050!B:B, 0)))-(INDEX(Cooper_pop_2030_2050!D:D, MATCH($A20, Cooper_pop_2030_2050!B:B, 0))))</f>
        <v>1374741.711589484</v>
      </c>
      <c r="P20">
        <f>(INDEX(Cooper_pop_2030_2050!D:D, MATCH($A20, Cooper_pop_2030_2050!B:B, 0)))+0.8*((INDEX(Cooper_pop_2030_2050!E:E, MATCH($A20, Cooper_pop_2030_2050!B:B, 0)))-(INDEX(Cooper_pop_2030_2050!D:D, MATCH($A20, Cooper_pop_2030_2050!B:B, 0))))</f>
        <v>1372805.8744605731</v>
      </c>
      <c r="Q20">
        <f>(INDEX(Cooper_pop_2030_2050!D:D, MATCH($A20, Cooper_pop_2030_2050!B:B, 0)))+0.9*((INDEX(Cooper_pop_2030_2050!E:E, MATCH($A20, Cooper_pop_2030_2050!B:B, 0)))-(INDEX(Cooper_pop_2030_2050!D:D, MATCH($A20, Cooper_pop_2030_2050!B:B, 0))))</f>
        <v>1370870.0373316619</v>
      </c>
      <c r="R20">
        <f>INDEX(Cooper_pop_2030_2050!E:E, MATCH($A20, Cooper_pop_2030_2050!B:B, 0))</f>
        <v>1368934.200202751</v>
      </c>
      <c r="S20">
        <f>(INDEX(Cooper_pop_2030_2050!E:E, MATCH($A20, Cooper_pop_2030_2050!B:B, 0)))+0.1*((INDEX(Cooper_pop_2030_2050!F:F, MATCH($A20, Cooper_pop_2030_2050!B:B, 0)))-(INDEX(Cooper_pop_2030_2050!E:E, MATCH($A20, Cooper_pop_2030_2050!B:B, 0))))</f>
        <v>1365443.621032065</v>
      </c>
      <c r="T20">
        <f>(INDEX(Cooper_pop_2030_2050!E:E, MATCH($A20, Cooper_pop_2030_2050!B:B, 0)))+0.2*((INDEX(Cooper_pop_2030_2050!F:F, MATCH($A20, Cooper_pop_2030_2050!B:B, 0)))-(INDEX(Cooper_pop_2030_2050!E:E, MATCH($A20, Cooper_pop_2030_2050!B:B, 0))))</f>
        <v>1361953.0418613793</v>
      </c>
      <c r="U20">
        <f>(INDEX(Cooper_pop_2030_2050!E:E, MATCH($A20, Cooper_pop_2030_2050!B:B, 0)))+0.3*((INDEX(Cooper_pop_2030_2050!F:F, MATCH($A20, Cooper_pop_2030_2050!B:B, 0)))-(INDEX(Cooper_pop_2030_2050!E:E, MATCH($A20, Cooper_pop_2030_2050!B:B, 0))))</f>
        <v>1358462.4626906933</v>
      </c>
      <c r="V20">
        <f>(INDEX(Cooper_pop_2030_2050!E:E, MATCH($A20, Cooper_pop_2030_2050!B:B, 0)))+0.4*((INDEX(Cooper_pop_2030_2050!F:F, MATCH($A20, Cooper_pop_2030_2050!B:B, 0)))-(INDEX(Cooper_pop_2030_2050!E:E, MATCH($A20, Cooper_pop_2030_2050!B:B, 0))))</f>
        <v>1354971.8835200074</v>
      </c>
      <c r="W20">
        <f>(INDEX(Cooper_pop_2030_2050!E:E, MATCH($A20, Cooper_pop_2030_2050!B:B, 0)))+0.5*((INDEX(Cooper_pop_2030_2050!F:F, MATCH($A20, Cooper_pop_2030_2050!B:B, 0)))-(INDEX(Cooper_pop_2030_2050!E:E, MATCH($A20, Cooper_pop_2030_2050!B:B, 0))))</f>
        <v>1351481.3043493214</v>
      </c>
      <c r="X20">
        <f>(INDEX(Cooper_pop_2030_2050!E:E, MATCH($A20, Cooper_pop_2030_2050!B:B, 0)))+0.6*((INDEX(Cooper_pop_2030_2050!F:F, MATCH($A20, Cooper_pop_2030_2050!B:B, 0)))-(INDEX(Cooper_pop_2030_2050!E:E, MATCH($A20, Cooper_pop_2030_2050!B:B, 0))))</f>
        <v>1347990.7251786357</v>
      </c>
      <c r="Y20">
        <f>(INDEX(Cooper_pop_2030_2050!E:E, MATCH($A20, Cooper_pop_2030_2050!B:B, 0)))+0.7*((INDEX(Cooper_pop_2030_2050!F:F, MATCH($A20, Cooper_pop_2030_2050!B:B, 0)))-(INDEX(Cooper_pop_2030_2050!E:E, MATCH($A20, Cooper_pop_2030_2050!B:B, 0))))</f>
        <v>1344500.1460079497</v>
      </c>
      <c r="Z20">
        <f>(INDEX(Cooper_pop_2030_2050!E:E, MATCH($A20, Cooper_pop_2030_2050!B:B, 0)))+0.8*((INDEX(Cooper_pop_2030_2050!F:F, MATCH($A20, Cooper_pop_2030_2050!B:B, 0)))-(INDEX(Cooper_pop_2030_2050!E:E, MATCH($A20, Cooper_pop_2030_2050!B:B, 0))))</f>
        <v>1341009.5668372638</v>
      </c>
      <c r="AA20">
        <f>(INDEX(Cooper_pop_2030_2050!E:E, MATCH($A20, Cooper_pop_2030_2050!B:B, 0)))+0.9*((INDEX(Cooper_pop_2030_2050!F:F, MATCH($A20, Cooper_pop_2030_2050!B:B, 0)))-(INDEX(Cooper_pop_2030_2050!E:E, MATCH($A20, Cooper_pop_2030_2050!B:B, 0))))</f>
        <v>1337518.987666578</v>
      </c>
      <c r="AB20">
        <f>INDEX(Cooper_pop_2030_2050!F:F, MATCH($A20, Cooper_pop_2030_2050!B:B, 0))</f>
        <v>1334028.4084958921</v>
      </c>
    </row>
    <row r="21" spans="1:28">
      <c r="A21" t="s">
        <v>2905</v>
      </c>
      <c r="B21">
        <f>IFERROR(INDEX(Census_pop_2020_2025!G:G, MATCH("."&amp;$A21, Census_pop_2020_2025!A:A, 0)),INDEX(Census_pop_2020_2025!G:G, MATCH($A21, Census_pop_2020_2025!A:A, 0)))</f>
        <v>6245314</v>
      </c>
      <c r="C21">
        <f>IFERROR(INDEX(Census_pop_2020_2025!H:H, MATCH("."&amp;$A21, Census_pop_2020_2025!A:A, 0)),INDEX(Census_pop_2020_2025!H:H, MATCH($A21, Census_pop_2020_2025!A:A, 0)))</f>
        <v>6265347</v>
      </c>
      <c r="D21">
        <f>(IFERROR(INDEX(Census_pop_2020_2025!H:H, MATCH("."&amp;$A21, Census_pop_2020_2025!A:A, 0)),INDEX(Census_pop_2020_2025!H:H, MATCH($A21, Census_pop_2020_2025!A:A, 0))))+0.2*((INDEX(Cooper_pop_2030_2050!D:D, MATCH($A21, Cooper_pop_2030_2050!B:B, 0)))-(IFERROR(INDEX(Census_pop_2020_2025!H:H, MATCH("."&amp;$A21, Census_pop_2020_2025!A:A, 0)),INDEX(Census_pop_2020_2025!H:H, MATCH($A21, Census_pop_2020_2025!A:A, 0)))))</f>
        <v>6311095.5714549385</v>
      </c>
      <c r="E21">
        <f>(IFERROR(INDEX(Census_pop_2020_2025!H:H, MATCH("."&amp;$A21, Census_pop_2020_2025!A:A, 0)),INDEX(Census_pop_2020_2025!H:H, MATCH($A21, Census_pop_2020_2025!A:A, 0))))+0.4*((INDEX(Cooper_pop_2030_2050!D:D, MATCH($A21, Cooper_pop_2030_2050!B:B, 0)))-(IFERROR(INDEX(Census_pop_2020_2025!H:H, MATCH("."&amp;$A21, Census_pop_2020_2025!A:A, 0)),INDEX(Census_pop_2020_2025!H:H, MATCH($A21, Census_pop_2020_2025!A:A, 0)))))</f>
        <v>6356844.1429098761</v>
      </c>
      <c r="F21">
        <f>(IFERROR(INDEX(Census_pop_2020_2025!H:H, MATCH("."&amp;$A21, Census_pop_2020_2025!A:A, 0)),INDEX(Census_pop_2020_2025!H:H, MATCH($A21, Census_pop_2020_2025!A:A, 0))))+0.6*((INDEX(Cooper_pop_2030_2050!D:D, MATCH($A21, Cooper_pop_2030_2050!B:B, 0)))-(IFERROR(INDEX(Census_pop_2020_2025!H:H, MATCH("."&amp;$A21, Census_pop_2020_2025!A:A, 0)),INDEX(Census_pop_2020_2025!H:H, MATCH($A21, Census_pop_2020_2025!A:A, 0)))))</f>
        <v>6402592.7143648146</v>
      </c>
      <c r="G21">
        <f>(IFERROR(INDEX(Census_pop_2020_2025!H:H, MATCH("."&amp;$A21, Census_pop_2020_2025!A:A, 0)),INDEX(Census_pop_2020_2025!H:H, MATCH($A21, Census_pop_2020_2025!A:A, 0))))+0.8*((INDEX(Cooper_pop_2030_2050!D:D, MATCH($A21, Cooper_pop_2030_2050!B:B, 0)))-(IFERROR(INDEX(Census_pop_2020_2025!H:H, MATCH("."&amp;$A21, Census_pop_2020_2025!A:A, 0)),INDEX(Census_pop_2020_2025!H:H, MATCH($A21, Census_pop_2020_2025!A:A, 0)))))</f>
        <v>6448341.2858197521</v>
      </c>
      <c r="H21">
        <f>INDEX(Cooper_pop_2030_2050!D:D, MATCH($A21, Cooper_pop_2030_2050!B:B, 0))</f>
        <v>6494089.8572746906</v>
      </c>
      <c r="I21">
        <f>(INDEX(Cooper_pop_2030_2050!D:D, MATCH($A21, Cooper_pop_2030_2050!B:B, 0)))+0.1*((INDEX(Cooper_pop_2030_2050!E:E, MATCH($A21, Cooper_pop_2030_2050!B:B, 0)))-(INDEX(Cooper_pop_2030_2050!D:D, MATCH($A21, Cooper_pop_2030_2050!B:B, 0))))</f>
        <v>6512708.903988569</v>
      </c>
      <c r="J21">
        <f>(INDEX(Cooper_pop_2030_2050!D:D, MATCH($A21, Cooper_pop_2030_2050!B:B, 0)))+0.2*((INDEX(Cooper_pop_2030_2050!E:E, MATCH($A21, Cooper_pop_2030_2050!B:B, 0)))-(INDEX(Cooper_pop_2030_2050!D:D, MATCH($A21, Cooper_pop_2030_2050!B:B, 0))))</f>
        <v>6531327.9507024484</v>
      </c>
      <c r="K21">
        <f>(INDEX(Cooper_pop_2030_2050!D:D, MATCH($A21, Cooper_pop_2030_2050!B:B, 0)))+0.3*((INDEX(Cooper_pop_2030_2050!E:E, MATCH($A21, Cooper_pop_2030_2050!B:B, 0)))-(INDEX(Cooper_pop_2030_2050!D:D, MATCH($A21, Cooper_pop_2030_2050!B:B, 0))))</f>
        <v>6549946.9974163268</v>
      </c>
      <c r="L21">
        <f>(INDEX(Cooper_pop_2030_2050!D:D, MATCH($A21, Cooper_pop_2030_2050!B:B, 0)))+0.4*((INDEX(Cooper_pop_2030_2050!E:E, MATCH($A21, Cooper_pop_2030_2050!B:B, 0)))-(INDEX(Cooper_pop_2030_2050!D:D, MATCH($A21, Cooper_pop_2030_2050!B:B, 0))))</f>
        <v>6568566.0441302061</v>
      </c>
      <c r="M21">
        <f>(INDEX(Cooper_pop_2030_2050!D:D, MATCH($A21, Cooper_pop_2030_2050!B:B, 0)))+0.5*((INDEX(Cooper_pop_2030_2050!E:E, MATCH($A21, Cooper_pop_2030_2050!B:B, 0)))-(INDEX(Cooper_pop_2030_2050!D:D, MATCH($A21, Cooper_pop_2030_2050!B:B, 0))))</f>
        <v>6587185.0908440845</v>
      </c>
      <c r="N21">
        <f>(INDEX(Cooper_pop_2030_2050!D:D, MATCH($A21, Cooper_pop_2030_2050!B:B, 0)))+0.6*((INDEX(Cooper_pop_2030_2050!E:E, MATCH($A21, Cooper_pop_2030_2050!B:B, 0)))-(INDEX(Cooper_pop_2030_2050!D:D, MATCH($A21, Cooper_pop_2030_2050!B:B, 0))))</f>
        <v>6605804.1375579629</v>
      </c>
      <c r="O21">
        <f>(INDEX(Cooper_pop_2030_2050!D:D, MATCH($A21, Cooper_pop_2030_2050!B:B, 0)))+0.7*((INDEX(Cooper_pop_2030_2050!E:E, MATCH($A21, Cooper_pop_2030_2050!B:B, 0)))-(INDEX(Cooper_pop_2030_2050!D:D, MATCH($A21, Cooper_pop_2030_2050!B:B, 0))))</f>
        <v>6624423.1842718422</v>
      </c>
      <c r="P21">
        <f>(INDEX(Cooper_pop_2030_2050!D:D, MATCH($A21, Cooper_pop_2030_2050!B:B, 0)))+0.8*((INDEX(Cooper_pop_2030_2050!E:E, MATCH($A21, Cooper_pop_2030_2050!B:B, 0)))-(INDEX(Cooper_pop_2030_2050!D:D, MATCH($A21, Cooper_pop_2030_2050!B:B, 0))))</f>
        <v>6643042.2309857206</v>
      </c>
      <c r="Q21">
        <f>(INDEX(Cooper_pop_2030_2050!D:D, MATCH($A21, Cooper_pop_2030_2050!B:B, 0)))+0.9*((INDEX(Cooper_pop_2030_2050!E:E, MATCH($A21, Cooper_pop_2030_2050!B:B, 0)))-(INDEX(Cooper_pop_2030_2050!D:D, MATCH($A21, Cooper_pop_2030_2050!B:B, 0))))</f>
        <v>6661661.2776996</v>
      </c>
      <c r="R21">
        <f>INDEX(Cooper_pop_2030_2050!E:E, MATCH($A21, Cooper_pop_2030_2050!B:B, 0))</f>
        <v>6680280.3244134784</v>
      </c>
      <c r="S21">
        <f>(INDEX(Cooper_pop_2030_2050!E:E, MATCH($A21, Cooper_pop_2030_2050!B:B, 0)))+0.1*((INDEX(Cooper_pop_2030_2050!F:F, MATCH($A21, Cooper_pop_2030_2050!B:B, 0)))-(INDEX(Cooper_pop_2030_2050!E:E, MATCH($A21, Cooper_pop_2030_2050!B:B, 0))))</f>
        <v>6691380.878146572</v>
      </c>
      <c r="T21">
        <f>(INDEX(Cooper_pop_2030_2050!E:E, MATCH($A21, Cooper_pop_2030_2050!B:B, 0)))+0.2*((INDEX(Cooper_pop_2030_2050!F:F, MATCH($A21, Cooper_pop_2030_2050!B:B, 0)))-(INDEX(Cooper_pop_2030_2050!E:E, MATCH($A21, Cooper_pop_2030_2050!B:B, 0))))</f>
        <v>6702481.4318796648</v>
      </c>
      <c r="U21">
        <f>(INDEX(Cooper_pop_2030_2050!E:E, MATCH($A21, Cooper_pop_2030_2050!B:B, 0)))+0.3*((INDEX(Cooper_pop_2030_2050!F:F, MATCH($A21, Cooper_pop_2030_2050!B:B, 0)))-(INDEX(Cooper_pop_2030_2050!E:E, MATCH($A21, Cooper_pop_2030_2050!B:B, 0))))</f>
        <v>6713581.9856127584</v>
      </c>
      <c r="V21">
        <f>(INDEX(Cooper_pop_2030_2050!E:E, MATCH($A21, Cooper_pop_2030_2050!B:B, 0)))+0.4*((INDEX(Cooper_pop_2030_2050!F:F, MATCH($A21, Cooper_pop_2030_2050!B:B, 0)))-(INDEX(Cooper_pop_2030_2050!E:E, MATCH($A21, Cooper_pop_2030_2050!B:B, 0))))</f>
        <v>6724682.5393458521</v>
      </c>
      <c r="W21">
        <f>(INDEX(Cooper_pop_2030_2050!E:E, MATCH($A21, Cooper_pop_2030_2050!B:B, 0)))+0.5*((INDEX(Cooper_pop_2030_2050!F:F, MATCH($A21, Cooper_pop_2030_2050!B:B, 0)))-(INDEX(Cooper_pop_2030_2050!E:E, MATCH($A21, Cooper_pop_2030_2050!B:B, 0))))</f>
        <v>6735783.0930789448</v>
      </c>
      <c r="X21">
        <f>(INDEX(Cooper_pop_2030_2050!E:E, MATCH($A21, Cooper_pop_2030_2050!B:B, 0)))+0.6*((INDEX(Cooper_pop_2030_2050!F:F, MATCH($A21, Cooper_pop_2030_2050!B:B, 0)))-(INDEX(Cooper_pop_2030_2050!E:E, MATCH($A21, Cooper_pop_2030_2050!B:B, 0))))</f>
        <v>6746883.6468120385</v>
      </c>
      <c r="Y21">
        <f>(INDEX(Cooper_pop_2030_2050!E:E, MATCH($A21, Cooper_pop_2030_2050!B:B, 0)))+0.7*((INDEX(Cooper_pop_2030_2050!F:F, MATCH($A21, Cooper_pop_2030_2050!B:B, 0)))-(INDEX(Cooper_pop_2030_2050!E:E, MATCH($A21, Cooper_pop_2030_2050!B:B, 0))))</f>
        <v>6757984.2005451322</v>
      </c>
      <c r="Z21">
        <f>(INDEX(Cooper_pop_2030_2050!E:E, MATCH($A21, Cooper_pop_2030_2050!B:B, 0)))+0.8*((INDEX(Cooper_pop_2030_2050!F:F, MATCH($A21, Cooper_pop_2030_2050!B:B, 0)))-(INDEX(Cooper_pop_2030_2050!E:E, MATCH($A21, Cooper_pop_2030_2050!B:B, 0))))</f>
        <v>6769084.7542782258</v>
      </c>
      <c r="AA21">
        <f>(INDEX(Cooper_pop_2030_2050!E:E, MATCH($A21, Cooper_pop_2030_2050!B:B, 0)))+0.9*((INDEX(Cooper_pop_2030_2050!F:F, MATCH($A21, Cooper_pop_2030_2050!B:B, 0)))-(INDEX(Cooper_pop_2030_2050!E:E, MATCH($A21, Cooper_pop_2030_2050!B:B, 0))))</f>
        <v>6780185.3080113186</v>
      </c>
      <c r="AB21">
        <f>INDEX(Cooper_pop_2030_2050!F:F, MATCH($A21, Cooper_pop_2030_2050!B:B, 0))</f>
        <v>6791285.8617444122</v>
      </c>
    </row>
    <row r="22" spans="1:28">
      <c r="A22" t="s">
        <v>2906</v>
      </c>
      <c r="B22">
        <f>IFERROR(INDEX(Census_pop_2020_2025!G:G, MATCH("."&amp;$A22, Census_pop_2020_2025!A:A, 0)),INDEX(Census_pop_2020_2025!G:G, MATCH($A22, Census_pop_2020_2025!A:A, 0)))</f>
        <v>7138560</v>
      </c>
      <c r="C22">
        <f>IFERROR(INDEX(Census_pop_2020_2025!H:H, MATCH("."&amp;$A22, Census_pop_2020_2025!A:A, 0)),INDEX(Census_pop_2020_2025!H:H, MATCH($A22, Census_pop_2020_2025!A:A, 0)))</f>
        <v>7154084</v>
      </c>
      <c r="D22">
        <f>(IFERROR(INDEX(Census_pop_2020_2025!H:H, MATCH("."&amp;$A22, Census_pop_2020_2025!A:A, 0)),INDEX(Census_pop_2020_2025!H:H, MATCH($A22, Census_pop_2020_2025!A:A, 0))))+0.2*((INDEX(Cooper_pop_2030_2050!D:D, MATCH($A22, Cooper_pop_2030_2050!B:B, 0)))-(IFERROR(INDEX(Census_pop_2020_2025!H:H, MATCH("."&amp;$A22, Census_pop_2020_2025!A:A, 0)),INDEX(Census_pop_2020_2025!H:H, MATCH($A22, Census_pop_2020_2025!A:A, 0)))))</f>
        <v>7205146.2571557732</v>
      </c>
      <c r="E22">
        <f>(IFERROR(INDEX(Census_pop_2020_2025!H:H, MATCH("."&amp;$A22, Census_pop_2020_2025!A:A, 0)),INDEX(Census_pop_2020_2025!H:H, MATCH($A22, Census_pop_2020_2025!A:A, 0))))+0.4*((INDEX(Cooper_pop_2030_2050!D:D, MATCH($A22, Cooper_pop_2030_2050!B:B, 0)))-(IFERROR(INDEX(Census_pop_2020_2025!H:H, MATCH("."&amp;$A22, Census_pop_2020_2025!A:A, 0)),INDEX(Census_pop_2020_2025!H:H, MATCH($A22, Census_pop_2020_2025!A:A, 0)))))</f>
        <v>7256208.5143115465</v>
      </c>
      <c r="F22">
        <f>(IFERROR(INDEX(Census_pop_2020_2025!H:H, MATCH("."&amp;$A22, Census_pop_2020_2025!A:A, 0)),INDEX(Census_pop_2020_2025!H:H, MATCH($A22, Census_pop_2020_2025!A:A, 0))))+0.6*((INDEX(Cooper_pop_2030_2050!D:D, MATCH($A22, Cooper_pop_2030_2050!B:B, 0)))-(IFERROR(INDEX(Census_pop_2020_2025!H:H, MATCH("."&amp;$A22, Census_pop_2020_2025!A:A, 0)),INDEX(Census_pop_2020_2025!H:H, MATCH($A22, Census_pop_2020_2025!A:A, 0)))))</f>
        <v>7307270.7714673206</v>
      </c>
      <c r="G22">
        <f>(IFERROR(INDEX(Census_pop_2020_2025!H:H, MATCH("."&amp;$A22, Census_pop_2020_2025!A:A, 0)),INDEX(Census_pop_2020_2025!H:H, MATCH($A22, Census_pop_2020_2025!A:A, 0))))+0.8*((INDEX(Cooper_pop_2030_2050!D:D, MATCH($A22, Cooper_pop_2030_2050!B:B, 0)))-(IFERROR(INDEX(Census_pop_2020_2025!H:H, MATCH("."&amp;$A22, Census_pop_2020_2025!A:A, 0)),INDEX(Census_pop_2020_2025!H:H, MATCH($A22, Census_pop_2020_2025!A:A, 0)))))</f>
        <v>7358333.0286230939</v>
      </c>
      <c r="H22">
        <f>INDEX(Cooper_pop_2030_2050!D:D, MATCH($A22, Cooper_pop_2030_2050!B:B, 0))</f>
        <v>7409395.2857788671</v>
      </c>
      <c r="I22">
        <f>(INDEX(Cooper_pop_2030_2050!D:D, MATCH($A22, Cooper_pop_2030_2050!B:B, 0)))+0.1*((INDEX(Cooper_pop_2030_2050!E:E, MATCH($A22, Cooper_pop_2030_2050!B:B, 0)))-(INDEX(Cooper_pop_2030_2050!D:D, MATCH($A22, Cooper_pop_2030_2050!B:B, 0))))</f>
        <v>7433303.5605832683</v>
      </c>
      <c r="J22">
        <f>(INDEX(Cooper_pop_2030_2050!D:D, MATCH($A22, Cooper_pop_2030_2050!B:B, 0)))+0.2*((INDEX(Cooper_pop_2030_2050!E:E, MATCH($A22, Cooper_pop_2030_2050!B:B, 0)))-(INDEX(Cooper_pop_2030_2050!D:D, MATCH($A22, Cooper_pop_2030_2050!B:B, 0))))</f>
        <v>7457211.8353876686</v>
      </c>
      <c r="K22">
        <f>(INDEX(Cooper_pop_2030_2050!D:D, MATCH($A22, Cooper_pop_2030_2050!B:B, 0)))+0.3*((INDEX(Cooper_pop_2030_2050!E:E, MATCH($A22, Cooper_pop_2030_2050!B:B, 0)))-(INDEX(Cooper_pop_2030_2050!D:D, MATCH($A22, Cooper_pop_2030_2050!B:B, 0))))</f>
        <v>7481120.1101920698</v>
      </c>
      <c r="L22">
        <f>(INDEX(Cooper_pop_2030_2050!D:D, MATCH($A22, Cooper_pop_2030_2050!B:B, 0)))+0.4*((INDEX(Cooper_pop_2030_2050!E:E, MATCH($A22, Cooper_pop_2030_2050!B:B, 0)))-(INDEX(Cooper_pop_2030_2050!D:D, MATCH($A22, Cooper_pop_2030_2050!B:B, 0))))</f>
        <v>7505028.384996471</v>
      </c>
      <c r="M22">
        <f>(INDEX(Cooper_pop_2030_2050!D:D, MATCH($A22, Cooper_pop_2030_2050!B:B, 0)))+0.5*((INDEX(Cooper_pop_2030_2050!E:E, MATCH($A22, Cooper_pop_2030_2050!B:B, 0)))-(INDEX(Cooper_pop_2030_2050!D:D, MATCH($A22, Cooper_pop_2030_2050!B:B, 0))))</f>
        <v>7528936.6598008722</v>
      </c>
      <c r="N22">
        <f>(INDEX(Cooper_pop_2030_2050!D:D, MATCH($A22, Cooper_pop_2030_2050!B:B, 0)))+0.6*((INDEX(Cooper_pop_2030_2050!E:E, MATCH($A22, Cooper_pop_2030_2050!B:B, 0)))-(INDEX(Cooper_pop_2030_2050!D:D, MATCH($A22, Cooper_pop_2030_2050!B:B, 0))))</f>
        <v>7552844.9346052725</v>
      </c>
      <c r="O22">
        <f>(INDEX(Cooper_pop_2030_2050!D:D, MATCH($A22, Cooper_pop_2030_2050!B:B, 0)))+0.7*((INDEX(Cooper_pop_2030_2050!E:E, MATCH($A22, Cooper_pop_2030_2050!B:B, 0)))-(INDEX(Cooper_pop_2030_2050!D:D, MATCH($A22, Cooper_pop_2030_2050!B:B, 0))))</f>
        <v>7576753.2094096737</v>
      </c>
      <c r="P22">
        <f>(INDEX(Cooper_pop_2030_2050!D:D, MATCH($A22, Cooper_pop_2030_2050!B:B, 0)))+0.8*((INDEX(Cooper_pop_2030_2050!E:E, MATCH($A22, Cooper_pop_2030_2050!B:B, 0)))-(INDEX(Cooper_pop_2030_2050!D:D, MATCH($A22, Cooper_pop_2030_2050!B:B, 0))))</f>
        <v>7600661.4842140749</v>
      </c>
      <c r="Q22">
        <f>(INDEX(Cooper_pop_2030_2050!D:D, MATCH($A22, Cooper_pop_2030_2050!B:B, 0)))+0.9*((INDEX(Cooper_pop_2030_2050!E:E, MATCH($A22, Cooper_pop_2030_2050!B:B, 0)))-(INDEX(Cooper_pop_2030_2050!D:D, MATCH($A22, Cooper_pop_2030_2050!B:B, 0))))</f>
        <v>7624569.7590184752</v>
      </c>
      <c r="R22">
        <f>INDEX(Cooper_pop_2030_2050!E:E, MATCH($A22, Cooper_pop_2030_2050!B:B, 0))</f>
        <v>7648478.0338228764</v>
      </c>
      <c r="S22">
        <f>(INDEX(Cooper_pop_2030_2050!E:E, MATCH($A22, Cooper_pop_2030_2050!B:B, 0)))+0.1*((INDEX(Cooper_pop_2030_2050!F:F, MATCH($A22, Cooper_pop_2030_2050!B:B, 0)))-(INDEX(Cooper_pop_2030_2050!E:E, MATCH($A22, Cooper_pop_2030_2050!B:B, 0))))</f>
        <v>7663906.1666591959</v>
      </c>
      <c r="T22">
        <f>(INDEX(Cooper_pop_2030_2050!E:E, MATCH($A22, Cooper_pop_2030_2050!B:B, 0)))+0.2*((INDEX(Cooper_pop_2030_2050!F:F, MATCH($A22, Cooper_pop_2030_2050!B:B, 0)))-(INDEX(Cooper_pop_2030_2050!E:E, MATCH($A22, Cooper_pop_2030_2050!B:B, 0))))</f>
        <v>7679334.2994955163</v>
      </c>
      <c r="U22">
        <f>(INDEX(Cooper_pop_2030_2050!E:E, MATCH($A22, Cooper_pop_2030_2050!B:B, 0)))+0.3*((INDEX(Cooper_pop_2030_2050!F:F, MATCH($A22, Cooper_pop_2030_2050!B:B, 0)))-(INDEX(Cooper_pop_2030_2050!E:E, MATCH($A22, Cooper_pop_2030_2050!B:B, 0))))</f>
        <v>7694762.4323318359</v>
      </c>
      <c r="V22">
        <f>(INDEX(Cooper_pop_2030_2050!E:E, MATCH($A22, Cooper_pop_2030_2050!B:B, 0)))+0.4*((INDEX(Cooper_pop_2030_2050!F:F, MATCH($A22, Cooper_pop_2030_2050!B:B, 0)))-(INDEX(Cooper_pop_2030_2050!E:E, MATCH($A22, Cooper_pop_2030_2050!B:B, 0))))</f>
        <v>7710190.5651681563</v>
      </c>
      <c r="W22">
        <f>(INDEX(Cooper_pop_2030_2050!E:E, MATCH($A22, Cooper_pop_2030_2050!B:B, 0)))+0.5*((INDEX(Cooper_pop_2030_2050!F:F, MATCH($A22, Cooper_pop_2030_2050!B:B, 0)))-(INDEX(Cooper_pop_2030_2050!E:E, MATCH($A22, Cooper_pop_2030_2050!B:B, 0))))</f>
        <v>7725618.6980044758</v>
      </c>
      <c r="X22">
        <f>(INDEX(Cooper_pop_2030_2050!E:E, MATCH($A22, Cooper_pop_2030_2050!B:B, 0)))+0.6*((INDEX(Cooper_pop_2030_2050!F:F, MATCH($A22, Cooper_pop_2030_2050!B:B, 0)))-(INDEX(Cooper_pop_2030_2050!E:E, MATCH($A22, Cooper_pop_2030_2050!B:B, 0))))</f>
        <v>7741046.8308407953</v>
      </c>
      <c r="Y22">
        <f>(INDEX(Cooper_pop_2030_2050!E:E, MATCH($A22, Cooper_pop_2030_2050!B:B, 0)))+0.7*((INDEX(Cooper_pop_2030_2050!F:F, MATCH($A22, Cooper_pop_2030_2050!B:B, 0)))-(INDEX(Cooper_pop_2030_2050!E:E, MATCH($A22, Cooper_pop_2030_2050!B:B, 0))))</f>
        <v>7756474.9636771157</v>
      </c>
      <c r="Z22">
        <f>(INDEX(Cooper_pop_2030_2050!E:E, MATCH($A22, Cooper_pop_2030_2050!B:B, 0)))+0.8*((INDEX(Cooper_pop_2030_2050!F:F, MATCH($A22, Cooper_pop_2030_2050!B:B, 0)))-(INDEX(Cooper_pop_2030_2050!E:E, MATCH($A22, Cooper_pop_2030_2050!B:B, 0))))</f>
        <v>7771903.0965134352</v>
      </c>
      <c r="AA22">
        <f>(INDEX(Cooper_pop_2030_2050!E:E, MATCH($A22, Cooper_pop_2030_2050!B:B, 0)))+0.9*((INDEX(Cooper_pop_2030_2050!F:F, MATCH($A22, Cooper_pop_2030_2050!B:B, 0)))-(INDEX(Cooper_pop_2030_2050!E:E, MATCH($A22, Cooper_pop_2030_2050!B:B, 0))))</f>
        <v>7787331.2293497557</v>
      </c>
      <c r="AB22">
        <f>INDEX(Cooper_pop_2030_2050!F:F, MATCH($A22, Cooper_pop_2030_2050!B:B, 0))</f>
        <v>7802759.3621860752</v>
      </c>
    </row>
    <row r="23" spans="1:28">
      <c r="A23" t="s">
        <v>2907</v>
      </c>
      <c r="B23">
        <f>IFERROR(INDEX(Census_pop_2020_2025!G:G, MATCH("."&amp;$A23, Census_pop_2020_2025!A:A, 0)),INDEX(Census_pop_2020_2025!G:G, MATCH($A23, Census_pop_2020_2025!A:A, 0)))</f>
        <v>10099962</v>
      </c>
      <c r="C23">
        <f>IFERROR(INDEX(Census_pop_2020_2025!H:H, MATCH("."&amp;$A23, Census_pop_2020_2025!A:A, 0)),INDEX(Census_pop_2020_2025!H:H, MATCH($A23, Census_pop_2020_2025!A:A, 0)))</f>
        <v>10127884</v>
      </c>
      <c r="D23">
        <f>(IFERROR(INDEX(Census_pop_2020_2025!H:H, MATCH("."&amp;$A23, Census_pop_2020_2025!A:A, 0)),INDEX(Census_pop_2020_2025!H:H, MATCH($A23, Census_pop_2020_2025!A:A, 0))))+0.2*((INDEX(Cooper_pop_2030_2050!D:D, MATCH($A23, Cooper_pop_2030_2050!B:B, 0)))-(IFERROR(INDEX(Census_pop_2020_2025!H:H, MATCH("."&amp;$A23, Census_pop_2020_2025!A:A, 0)),INDEX(Census_pop_2020_2025!H:H, MATCH($A23, Census_pop_2020_2025!A:A, 0)))))</f>
        <v>10147206.628813889</v>
      </c>
      <c r="E23">
        <f>(IFERROR(INDEX(Census_pop_2020_2025!H:H, MATCH("."&amp;$A23, Census_pop_2020_2025!A:A, 0)),INDEX(Census_pop_2020_2025!H:H, MATCH($A23, Census_pop_2020_2025!A:A, 0))))+0.4*((INDEX(Cooper_pop_2030_2050!D:D, MATCH($A23, Cooper_pop_2030_2050!B:B, 0)))-(IFERROR(INDEX(Census_pop_2020_2025!H:H, MATCH("."&amp;$A23, Census_pop_2020_2025!A:A, 0)),INDEX(Census_pop_2020_2025!H:H, MATCH($A23, Census_pop_2020_2025!A:A, 0)))))</f>
        <v>10166529.257627776</v>
      </c>
      <c r="F23">
        <f>(IFERROR(INDEX(Census_pop_2020_2025!H:H, MATCH("."&amp;$A23, Census_pop_2020_2025!A:A, 0)),INDEX(Census_pop_2020_2025!H:H, MATCH($A23, Census_pop_2020_2025!A:A, 0))))+0.6*((INDEX(Cooper_pop_2030_2050!D:D, MATCH($A23, Cooper_pop_2030_2050!B:B, 0)))-(IFERROR(INDEX(Census_pop_2020_2025!H:H, MATCH("."&amp;$A23, Census_pop_2020_2025!A:A, 0)),INDEX(Census_pop_2020_2025!H:H, MATCH($A23, Census_pop_2020_2025!A:A, 0)))))</f>
        <v>10185851.886441665</v>
      </c>
      <c r="G23">
        <f>(IFERROR(INDEX(Census_pop_2020_2025!H:H, MATCH("."&amp;$A23, Census_pop_2020_2025!A:A, 0)),INDEX(Census_pop_2020_2025!H:H, MATCH($A23, Census_pop_2020_2025!A:A, 0))))+0.8*((INDEX(Cooper_pop_2030_2050!D:D, MATCH($A23, Cooper_pop_2030_2050!B:B, 0)))-(IFERROR(INDEX(Census_pop_2020_2025!H:H, MATCH("."&amp;$A23, Census_pop_2020_2025!A:A, 0)),INDEX(Census_pop_2020_2025!H:H, MATCH($A23, Census_pop_2020_2025!A:A, 0)))))</f>
        <v>10205174.515255552</v>
      </c>
      <c r="H23">
        <f>INDEX(Cooper_pop_2030_2050!D:D, MATCH($A23, Cooper_pop_2030_2050!B:B, 0))</f>
        <v>10224497.144069441</v>
      </c>
      <c r="I23">
        <f>(INDEX(Cooper_pop_2030_2050!D:D, MATCH($A23, Cooper_pop_2030_2050!B:B, 0)))+0.1*((INDEX(Cooper_pop_2030_2050!E:E, MATCH($A23, Cooper_pop_2030_2050!B:B, 0)))-(INDEX(Cooper_pop_2030_2050!D:D, MATCH($A23, Cooper_pop_2030_2050!B:B, 0))))</f>
        <v>10204345.024904089</v>
      </c>
      <c r="J23">
        <f>(INDEX(Cooper_pop_2030_2050!D:D, MATCH($A23, Cooper_pop_2030_2050!B:B, 0)))+0.2*((INDEX(Cooper_pop_2030_2050!E:E, MATCH($A23, Cooper_pop_2030_2050!B:B, 0)))-(INDEX(Cooper_pop_2030_2050!D:D, MATCH($A23, Cooper_pop_2030_2050!B:B, 0))))</f>
        <v>10184192.905738737</v>
      </c>
      <c r="K23">
        <f>(INDEX(Cooper_pop_2030_2050!D:D, MATCH($A23, Cooper_pop_2030_2050!B:B, 0)))+0.3*((INDEX(Cooper_pop_2030_2050!E:E, MATCH($A23, Cooper_pop_2030_2050!B:B, 0)))-(INDEX(Cooper_pop_2030_2050!D:D, MATCH($A23, Cooper_pop_2030_2050!B:B, 0))))</f>
        <v>10164040.786573384</v>
      </c>
      <c r="L23">
        <f>(INDEX(Cooper_pop_2030_2050!D:D, MATCH($A23, Cooper_pop_2030_2050!B:B, 0)))+0.4*((INDEX(Cooper_pop_2030_2050!E:E, MATCH($A23, Cooper_pop_2030_2050!B:B, 0)))-(INDEX(Cooper_pop_2030_2050!D:D, MATCH($A23, Cooper_pop_2030_2050!B:B, 0))))</f>
        <v>10143888.667408032</v>
      </c>
      <c r="M23">
        <f>(INDEX(Cooper_pop_2030_2050!D:D, MATCH($A23, Cooper_pop_2030_2050!B:B, 0)))+0.5*((INDEX(Cooper_pop_2030_2050!E:E, MATCH($A23, Cooper_pop_2030_2050!B:B, 0)))-(INDEX(Cooper_pop_2030_2050!D:D, MATCH($A23, Cooper_pop_2030_2050!B:B, 0))))</f>
        <v>10123736.548242681</v>
      </c>
      <c r="N23">
        <f>(INDEX(Cooper_pop_2030_2050!D:D, MATCH($A23, Cooper_pop_2030_2050!B:B, 0)))+0.6*((INDEX(Cooper_pop_2030_2050!E:E, MATCH($A23, Cooper_pop_2030_2050!B:B, 0)))-(INDEX(Cooper_pop_2030_2050!D:D, MATCH($A23, Cooper_pop_2030_2050!B:B, 0))))</f>
        <v>10103584.429077329</v>
      </c>
      <c r="O23">
        <f>(INDEX(Cooper_pop_2030_2050!D:D, MATCH($A23, Cooper_pop_2030_2050!B:B, 0)))+0.7*((INDEX(Cooper_pop_2030_2050!E:E, MATCH($A23, Cooper_pop_2030_2050!B:B, 0)))-(INDEX(Cooper_pop_2030_2050!D:D, MATCH($A23, Cooper_pop_2030_2050!B:B, 0))))</f>
        <v>10083432.309911977</v>
      </c>
      <c r="P23">
        <f>(INDEX(Cooper_pop_2030_2050!D:D, MATCH($A23, Cooper_pop_2030_2050!B:B, 0)))+0.8*((INDEX(Cooper_pop_2030_2050!E:E, MATCH($A23, Cooper_pop_2030_2050!B:B, 0)))-(INDEX(Cooper_pop_2030_2050!D:D, MATCH($A23, Cooper_pop_2030_2050!B:B, 0))))</f>
        <v>10063280.190746624</v>
      </c>
      <c r="Q23">
        <f>(INDEX(Cooper_pop_2030_2050!D:D, MATCH($A23, Cooper_pop_2030_2050!B:B, 0)))+0.9*((INDEX(Cooper_pop_2030_2050!E:E, MATCH($A23, Cooper_pop_2030_2050!B:B, 0)))-(INDEX(Cooper_pop_2030_2050!D:D, MATCH($A23, Cooper_pop_2030_2050!B:B, 0))))</f>
        <v>10043128.071581272</v>
      </c>
      <c r="R23">
        <f>INDEX(Cooper_pop_2030_2050!E:E, MATCH($A23, Cooper_pop_2030_2050!B:B, 0))</f>
        <v>10022975.952415921</v>
      </c>
      <c r="S23">
        <f>(INDEX(Cooper_pop_2030_2050!E:E, MATCH($A23, Cooper_pop_2030_2050!B:B, 0)))+0.1*((INDEX(Cooper_pop_2030_2050!F:F, MATCH($A23, Cooper_pop_2030_2050!B:B, 0)))-(INDEX(Cooper_pop_2030_2050!E:E, MATCH($A23, Cooper_pop_2030_2050!B:B, 0))))</f>
        <v>9991707.6904045064</v>
      </c>
      <c r="T23">
        <f>(INDEX(Cooper_pop_2030_2050!E:E, MATCH($A23, Cooper_pop_2030_2050!B:B, 0)))+0.2*((INDEX(Cooper_pop_2030_2050!F:F, MATCH($A23, Cooper_pop_2030_2050!B:B, 0)))-(INDEX(Cooper_pop_2030_2050!E:E, MATCH($A23, Cooper_pop_2030_2050!B:B, 0))))</f>
        <v>9960439.4283930901</v>
      </c>
      <c r="U23">
        <f>(INDEX(Cooper_pop_2030_2050!E:E, MATCH($A23, Cooper_pop_2030_2050!B:B, 0)))+0.3*((INDEX(Cooper_pop_2030_2050!F:F, MATCH($A23, Cooper_pop_2030_2050!B:B, 0)))-(INDEX(Cooper_pop_2030_2050!E:E, MATCH($A23, Cooper_pop_2030_2050!B:B, 0))))</f>
        <v>9929171.1663816758</v>
      </c>
      <c r="V23">
        <f>(INDEX(Cooper_pop_2030_2050!E:E, MATCH($A23, Cooper_pop_2030_2050!B:B, 0)))+0.4*((INDEX(Cooper_pop_2030_2050!F:F, MATCH($A23, Cooper_pop_2030_2050!B:B, 0)))-(INDEX(Cooper_pop_2030_2050!E:E, MATCH($A23, Cooper_pop_2030_2050!B:B, 0))))</f>
        <v>9897902.9043702614</v>
      </c>
      <c r="W23">
        <f>(INDEX(Cooper_pop_2030_2050!E:E, MATCH($A23, Cooper_pop_2030_2050!B:B, 0)))+0.5*((INDEX(Cooper_pop_2030_2050!F:F, MATCH($A23, Cooper_pop_2030_2050!B:B, 0)))-(INDEX(Cooper_pop_2030_2050!E:E, MATCH($A23, Cooper_pop_2030_2050!B:B, 0))))</f>
        <v>9866634.642358847</v>
      </c>
      <c r="X23">
        <f>(INDEX(Cooper_pop_2030_2050!E:E, MATCH($A23, Cooper_pop_2030_2050!B:B, 0)))+0.6*((INDEX(Cooper_pop_2030_2050!F:F, MATCH($A23, Cooper_pop_2030_2050!B:B, 0)))-(INDEX(Cooper_pop_2030_2050!E:E, MATCH($A23, Cooper_pop_2030_2050!B:B, 0))))</f>
        <v>9835366.3803474307</v>
      </c>
      <c r="Y23">
        <f>(INDEX(Cooper_pop_2030_2050!E:E, MATCH($A23, Cooper_pop_2030_2050!B:B, 0)))+0.7*((INDEX(Cooper_pop_2030_2050!F:F, MATCH($A23, Cooper_pop_2030_2050!B:B, 0)))-(INDEX(Cooper_pop_2030_2050!E:E, MATCH($A23, Cooper_pop_2030_2050!B:B, 0))))</f>
        <v>9804098.1183360163</v>
      </c>
      <c r="Z23">
        <f>(INDEX(Cooper_pop_2030_2050!E:E, MATCH($A23, Cooper_pop_2030_2050!B:B, 0)))+0.8*((INDEX(Cooper_pop_2030_2050!F:F, MATCH($A23, Cooper_pop_2030_2050!B:B, 0)))-(INDEX(Cooper_pop_2030_2050!E:E, MATCH($A23, Cooper_pop_2030_2050!B:B, 0))))</f>
        <v>9772829.8563246019</v>
      </c>
      <c r="AA23">
        <f>(INDEX(Cooper_pop_2030_2050!E:E, MATCH($A23, Cooper_pop_2030_2050!B:B, 0)))+0.9*((INDEX(Cooper_pop_2030_2050!F:F, MATCH($A23, Cooper_pop_2030_2050!B:B, 0)))-(INDEX(Cooper_pop_2030_2050!E:E, MATCH($A23, Cooper_pop_2030_2050!B:B, 0))))</f>
        <v>9741561.5943131857</v>
      </c>
      <c r="AB23">
        <f>INDEX(Cooper_pop_2030_2050!F:F, MATCH($A23, Cooper_pop_2030_2050!B:B, 0))</f>
        <v>9710293.3323017713</v>
      </c>
    </row>
    <row r="24" spans="1:28">
      <c r="A24" t="s">
        <v>2908</v>
      </c>
      <c r="B24">
        <f>IFERROR(INDEX(Census_pop_2020_2025!G:G, MATCH("."&amp;$A24, Census_pop_2020_2025!A:A, 0)),INDEX(Census_pop_2020_2025!G:G, MATCH($A24, Census_pop_2020_2025!A:A, 0)))</f>
        <v>5797405</v>
      </c>
      <c r="C24">
        <f>IFERROR(INDEX(Census_pop_2020_2025!H:H, MATCH("."&amp;$A24, Census_pop_2020_2025!A:A, 0)),INDEX(Census_pop_2020_2025!H:H, MATCH($A24, Census_pop_2020_2025!A:A, 0)))</f>
        <v>5830405</v>
      </c>
      <c r="D24">
        <f>(IFERROR(INDEX(Census_pop_2020_2025!H:H, MATCH("."&amp;$A24, Census_pop_2020_2025!A:A, 0)),INDEX(Census_pop_2020_2025!H:H, MATCH($A24, Census_pop_2020_2025!A:A, 0))))+0.2*((INDEX(Cooper_pop_2030_2050!D:D, MATCH($A24, Cooper_pop_2030_2050!B:B, 0)))-(IFERROR(INDEX(Census_pop_2020_2025!H:H, MATCH("."&amp;$A24, Census_pop_2020_2025!A:A, 0)),INDEX(Census_pop_2020_2025!H:H, MATCH($A24, Census_pop_2020_2025!A:A, 0)))))</f>
        <v>5869063.657002097</v>
      </c>
      <c r="E24">
        <f>(IFERROR(INDEX(Census_pop_2020_2025!H:H, MATCH("."&amp;$A24, Census_pop_2020_2025!A:A, 0)),INDEX(Census_pop_2020_2025!H:H, MATCH($A24, Census_pop_2020_2025!A:A, 0))))+0.4*((INDEX(Cooper_pop_2030_2050!D:D, MATCH($A24, Cooper_pop_2030_2050!B:B, 0)))-(IFERROR(INDEX(Census_pop_2020_2025!H:H, MATCH("."&amp;$A24, Census_pop_2020_2025!A:A, 0)),INDEX(Census_pop_2020_2025!H:H, MATCH($A24, Census_pop_2020_2025!A:A, 0)))))</f>
        <v>5907722.3140041949</v>
      </c>
      <c r="F24">
        <f>(IFERROR(INDEX(Census_pop_2020_2025!H:H, MATCH("."&amp;$A24, Census_pop_2020_2025!A:A, 0)),INDEX(Census_pop_2020_2025!H:H, MATCH($A24, Census_pop_2020_2025!A:A, 0))))+0.6*((INDEX(Cooper_pop_2030_2050!D:D, MATCH($A24, Cooper_pop_2030_2050!B:B, 0)))-(IFERROR(INDEX(Census_pop_2020_2025!H:H, MATCH("."&amp;$A24, Census_pop_2020_2025!A:A, 0)),INDEX(Census_pop_2020_2025!H:H, MATCH($A24, Census_pop_2020_2025!A:A, 0)))))</f>
        <v>5946380.9710062919</v>
      </c>
      <c r="G24">
        <f>(IFERROR(INDEX(Census_pop_2020_2025!H:H, MATCH("."&amp;$A24, Census_pop_2020_2025!A:A, 0)),INDEX(Census_pop_2020_2025!H:H, MATCH($A24, Census_pop_2020_2025!A:A, 0))))+0.8*((INDEX(Cooper_pop_2030_2050!D:D, MATCH($A24, Cooper_pop_2030_2050!B:B, 0)))-(IFERROR(INDEX(Census_pop_2020_2025!H:H, MATCH("."&amp;$A24, Census_pop_2020_2025!A:A, 0)),INDEX(Census_pop_2020_2025!H:H, MATCH($A24, Census_pop_2020_2025!A:A, 0)))))</f>
        <v>5985039.6280083898</v>
      </c>
      <c r="H24">
        <f>INDEX(Cooper_pop_2030_2050!D:D, MATCH($A24, Cooper_pop_2030_2050!B:B, 0))</f>
        <v>6023698.2850104868</v>
      </c>
      <c r="I24">
        <f>(INDEX(Cooper_pop_2030_2050!D:D, MATCH($A24, Cooper_pop_2030_2050!B:B, 0)))+0.1*((INDEX(Cooper_pop_2030_2050!E:E, MATCH($A24, Cooper_pop_2030_2050!B:B, 0)))-(INDEX(Cooper_pop_2030_2050!D:D, MATCH($A24, Cooper_pop_2030_2050!B:B, 0))))</f>
        <v>6044433.586218656</v>
      </c>
      <c r="J24">
        <f>(INDEX(Cooper_pop_2030_2050!D:D, MATCH($A24, Cooper_pop_2030_2050!B:B, 0)))+0.2*((INDEX(Cooper_pop_2030_2050!E:E, MATCH($A24, Cooper_pop_2030_2050!B:B, 0)))-(INDEX(Cooper_pop_2030_2050!D:D, MATCH($A24, Cooper_pop_2030_2050!B:B, 0))))</f>
        <v>6065168.8874268262</v>
      </c>
      <c r="K24">
        <f>(INDEX(Cooper_pop_2030_2050!D:D, MATCH($A24, Cooper_pop_2030_2050!B:B, 0)))+0.3*((INDEX(Cooper_pop_2030_2050!E:E, MATCH($A24, Cooper_pop_2030_2050!B:B, 0)))-(INDEX(Cooper_pop_2030_2050!D:D, MATCH($A24, Cooper_pop_2030_2050!B:B, 0))))</f>
        <v>6085904.1886349954</v>
      </c>
      <c r="L24">
        <f>(INDEX(Cooper_pop_2030_2050!D:D, MATCH($A24, Cooper_pop_2030_2050!B:B, 0)))+0.4*((INDEX(Cooper_pop_2030_2050!E:E, MATCH($A24, Cooper_pop_2030_2050!B:B, 0)))-(INDEX(Cooper_pop_2030_2050!D:D, MATCH($A24, Cooper_pop_2030_2050!B:B, 0))))</f>
        <v>6106639.4898431655</v>
      </c>
      <c r="M24">
        <f>(INDEX(Cooper_pop_2030_2050!D:D, MATCH($A24, Cooper_pop_2030_2050!B:B, 0)))+0.5*((INDEX(Cooper_pop_2030_2050!E:E, MATCH($A24, Cooper_pop_2030_2050!B:B, 0)))-(INDEX(Cooper_pop_2030_2050!D:D, MATCH($A24, Cooper_pop_2030_2050!B:B, 0))))</f>
        <v>6127374.7910513347</v>
      </c>
      <c r="N24">
        <f>(INDEX(Cooper_pop_2030_2050!D:D, MATCH($A24, Cooper_pop_2030_2050!B:B, 0)))+0.6*((INDEX(Cooper_pop_2030_2050!E:E, MATCH($A24, Cooper_pop_2030_2050!B:B, 0)))-(INDEX(Cooper_pop_2030_2050!D:D, MATCH($A24, Cooper_pop_2030_2050!B:B, 0))))</f>
        <v>6148110.0922595039</v>
      </c>
      <c r="O24">
        <f>(INDEX(Cooper_pop_2030_2050!D:D, MATCH($A24, Cooper_pop_2030_2050!B:B, 0)))+0.7*((INDEX(Cooper_pop_2030_2050!E:E, MATCH($A24, Cooper_pop_2030_2050!B:B, 0)))-(INDEX(Cooper_pop_2030_2050!D:D, MATCH($A24, Cooper_pop_2030_2050!B:B, 0))))</f>
        <v>6168845.393467674</v>
      </c>
      <c r="P24">
        <f>(INDEX(Cooper_pop_2030_2050!D:D, MATCH($A24, Cooper_pop_2030_2050!B:B, 0)))+0.8*((INDEX(Cooper_pop_2030_2050!E:E, MATCH($A24, Cooper_pop_2030_2050!B:B, 0)))-(INDEX(Cooper_pop_2030_2050!D:D, MATCH($A24, Cooper_pop_2030_2050!B:B, 0))))</f>
        <v>6189580.6946758432</v>
      </c>
      <c r="Q24">
        <f>(INDEX(Cooper_pop_2030_2050!D:D, MATCH($A24, Cooper_pop_2030_2050!B:B, 0)))+0.9*((INDEX(Cooper_pop_2030_2050!E:E, MATCH($A24, Cooper_pop_2030_2050!B:B, 0)))-(INDEX(Cooper_pop_2030_2050!D:D, MATCH($A24, Cooper_pop_2030_2050!B:B, 0))))</f>
        <v>6210315.9958840134</v>
      </c>
      <c r="R24">
        <f>INDEX(Cooper_pop_2030_2050!E:E, MATCH($A24, Cooper_pop_2030_2050!B:B, 0))</f>
        <v>6231051.2970921826</v>
      </c>
      <c r="S24">
        <f>(INDEX(Cooper_pop_2030_2050!E:E, MATCH($A24, Cooper_pop_2030_2050!B:B, 0)))+0.1*((INDEX(Cooper_pop_2030_2050!F:F, MATCH($A24, Cooper_pop_2030_2050!B:B, 0)))-(INDEX(Cooper_pop_2030_2050!E:E, MATCH($A24, Cooper_pop_2030_2050!B:B, 0))))</f>
        <v>6244947.5471551223</v>
      </c>
      <c r="T24">
        <f>(INDEX(Cooper_pop_2030_2050!E:E, MATCH($A24, Cooper_pop_2030_2050!B:B, 0)))+0.2*((INDEX(Cooper_pop_2030_2050!F:F, MATCH($A24, Cooper_pop_2030_2050!B:B, 0)))-(INDEX(Cooper_pop_2030_2050!E:E, MATCH($A24, Cooper_pop_2030_2050!B:B, 0))))</f>
        <v>6258843.797218062</v>
      </c>
      <c r="U24">
        <f>(INDEX(Cooper_pop_2030_2050!E:E, MATCH($A24, Cooper_pop_2030_2050!B:B, 0)))+0.3*((INDEX(Cooper_pop_2030_2050!F:F, MATCH($A24, Cooper_pop_2030_2050!B:B, 0)))-(INDEX(Cooper_pop_2030_2050!E:E, MATCH($A24, Cooper_pop_2030_2050!B:B, 0))))</f>
        <v>6272740.0472810017</v>
      </c>
      <c r="V24">
        <f>(INDEX(Cooper_pop_2030_2050!E:E, MATCH($A24, Cooper_pop_2030_2050!B:B, 0)))+0.4*((INDEX(Cooper_pop_2030_2050!F:F, MATCH($A24, Cooper_pop_2030_2050!B:B, 0)))-(INDEX(Cooper_pop_2030_2050!E:E, MATCH($A24, Cooper_pop_2030_2050!B:B, 0))))</f>
        <v>6286636.2973439414</v>
      </c>
      <c r="W24">
        <f>(INDEX(Cooper_pop_2030_2050!E:E, MATCH($A24, Cooper_pop_2030_2050!B:B, 0)))+0.5*((INDEX(Cooper_pop_2030_2050!F:F, MATCH($A24, Cooper_pop_2030_2050!B:B, 0)))-(INDEX(Cooper_pop_2030_2050!E:E, MATCH($A24, Cooper_pop_2030_2050!B:B, 0))))</f>
        <v>6300532.5474068811</v>
      </c>
      <c r="X24">
        <f>(INDEX(Cooper_pop_2030_2050!E:E, MATCH($A24, Cooper_pop_2030_2050!B:B, 0)))+0.6*((INDEX(Cooper_pop_2030_2050!F:F, MATCH($A24, Cooper_pop_2030_2050!B:B, 0)))-(INDEX(Cooper_pop_2030_2050!E:E, MATCH($A24, Cooper_pop_2030_2050!B:B, 0))))</f>
        <v>6314428.7974698208</v>
      </c>
      <c r="Y24">
        <f>(INDEX(Cooper_pop_2030_2050!E:E, MATCH($A24, Cooper_pop_2030_2050!B:B, 0)))+0.7*((INDEX(Cooper_pop_2030_2050!F:F, MATCH($A24, Cooper_pop_2030_2050!B:B, 0)))-(INDEX(Cooper_pop_2030_2050!E:E, MATCH($A24, Cooper_pop_2030_2050!B:B, 0))))</f>
        <v>6328325.0475327605</v>
      </c>
      <c r="Z24">
        <f>(INDEX(Cooper_pop_2030_2050!E:E, MATCH($A24, Cooper_pop_2030_2050!B:B, 0)))+0.8*((INDEX(Cooper_pop_2030_2050!F:F, MATCH($A24, Cooper_pop_2030_2050!B:B, 0)))-(INDEX(Cooper_pop_2030_2050!E:E, MATCH($A24, Cooper_pop_2030_2050!B:B, 0))))</f>
        <v>6342221.2975957002</v>
      </c>
      <c r="AA24">
        <f>(INDEX(Cooper_pop_2030_2050!E:E, MATCH($A24, Cooper_pop_2030_2050!B:B, 0)))+0.9*((INDEX(Cooper_pop_2030_2050!F:F, MATCH($A24, Cooper_pop_2030_2050!B:B, 0)))-(INDEX(Cooper_pop_2030_2050!E:E, MATCH($A24, Cooper_pop_2030_2050!B:B, 0))))</f>
        <v>6356117.54765864</v>
      </c>
      <c r="AB24">
        <f>INDEX(Cooper_pop_2030_2050!F:F, MATCH($A24, Cooper_pop_2030_2050!B:B, 0))</f>
        <v>6370013.7977215797</v>
      </c>
    </row>
    <row r="25" spans="1:28">
      <c r="A25" t="s">
        <v>2909</v>
      </c>
      <c r="B25">
        <f>IFERROR(INDEX(Census_pop_2020_2025!G:G, MATCH("."&amp;$A25, Census_pop_2020_2025!A:A, 0)),INDEX(Census_pop_2020_2025!G:G, MATCH($A25, Census_pop_2020_2025!A:A, 0)))</f>
        <v>2950172</v>
      </c>
      <c r="C25">
        <f>IFERROR(INDEX(Census_pop_2020_2025!H:H, MATCH("."&amp;$A25, Census_pop_2020_2025!A:A, 0)),INDEX(Census_pop_2020_2025!H:H, MATCH($A25, Census_pop_2020_2025!A:A, 0)))</f>
        <v>2954160</v>
      </c>
      <c r="D25">
        <f>(IFERROR(INDEX(Census_pop_2020_2025!H:H, MATCH("."&amp;$A25, Census_pop_2020_2025!A:A, 0)),INDEX(Census_pop_2020_2025!H:H, MATCH($A25, Census_pop_2020_2025!A:A, 0))))+0.2*((INDEX(Cooper_pop_2030_2050!D:D, MATCH($A25, Cooper_pop_2030_2050!B:B, 0)))-(IFERROR(INDEX(Census_pop_2020_2025!H:H, MATCH("."&amp;$A25, Census_pop_2020_2025!A:A, 0)),INDEX(Census_pop_2020_2025!H:H, MATCH($A25, Census_pop_2020_2025!A:A, 0)))))</f>
        <v>2954682.320515641</v>
      </c>
      <c r="E25">
        <f>(IFERROR(INDEX(Census_pop_2020_2025!H:H, MATCH("."&amp;$A25, Census_pop_2020_2025!A:A, 0)),INDEX(Census_pop_2020_2025!H:H, MATCH($A25, Census_pop_2020_2025!A:A, 0))))+0.4*((INDEX(Cooper_pop_2030_2050!D:D, MATCH($A25, Cooper_pop_2030_2050!B:B, 0)))-(IFERROR(INDEX(Census_pop_2020_2025!H:H, MATCH("."&amp;$A25, Census_pop_2020_2025!A:A, 0)),INDEX(Census_pop_2020_2025!H:H, MATCH($A25, Census_pop_2020_2025!A:A, 0)))))</f>
        <v>2955204.641031282</v>
      </c>
      <c r="F25">
        <f>(IFERROR(INDEX(Census_pop_2020_2025!H:H, MATCH("."&amp;$A25, Census_pop_2020_2025!A:A, 0)),INDEX(Census_pop_2020_2025!H:H, MATCH($A25, Census_pop_2020_2025!A:A, 0))))+0.6*((INDEX(Cooper_pop_2030_2050!D:D, MATCH($A25, Cooper_pop_2030_2050!B:B, 0)))-(IFERROR(INDEX(Census_pop_2020_2025!H:H, MATCH("."&amp;$A25, Census_pop_2020_2025!A:A, 0)),INDEX(Census_pop_2020_2025!H:H, MATCH($A25, Census_pop_2020_2025!A:A, 0)))))</f>
        <v>2955726.961546923</v>
      </c>
      <c r="G25">
        <f>(IFERROR(INDEX(Census_pop_2020_2025!H:H, MATCH("."&amp;$A25, Census_pop_2020_2025!A:A, 0)),INDEX(Census_pop_2020_2025!H:H, MATCH($A25, Census_pop_2020_2025!A:A, 0))))+0.8*((INDEX(Cooper_pop_2030_2050!D:D, MATCH($A25, Cooper_pop_2030_2050!B:B, 0)))-(IFERROR(INDEX(Census_pop_2020_2025!H:H, MATCH("."&amp;$A25, Census_pop_2020_2025!A:A, 0)),INDEX(Census_pop_2020_2025!H:H, MATCH($A25, Census_pop_2020_2025!A:A, 0)))))</f>
        <v>2956249.282062564</v>
      </c>
      <c r="H25">
        <f>INDEX(Cooper_pop_2030_2050!D:D, MATCH($A25, Cooper_pop_2030_2050!B:B, 0))</f>
        <v>2956771.6025782051</v>
      </c>
      <c r="I25">
        <f>(INDEX(Cooper_pop_2030_2050!D:D, MATCH($A25, Cooper_pop_2030_2050!B:B, 0)))+0.1*((INDEX(Cooper_pop_2030_2050!E:E, MATCH($A25, Cooper_pop_2030_2050!B:B, 0)))-(INDEX(Cooper_pop_2030_2050!D:D, MATCH($A25, Cooper_pop_2030_2050!B:B, 0))))</f>
        <v>2944796.3218247639</v>
      </c>
      <c r="J25">
        <f>(INDEX(Cooper_pop_2030_2050!D:D, MATCH($A25, Cooper_pop_2030_2050!B:B, 0)))+0.2*((INDEX(Cooper_pop_2030_2050!E:E, MATCH($A25, Cooper_pop_2030_2050!B:B, 0)))-(INDEX(Cooper_pop_2030_2050!D:D, MATCH($A25, Cooper_pop_2030_2050!B:B, 0))))</f>
        <v>2932821.0410713232</v>
      </c>
      <c r="K25">
        <f>(INDEX(Cooper_pop_2030_2050!D:D, MATCH($A25, Cooper_pop_2030_2050!B:B, 0)))+0.3*((INDEX(Cooper_pop_2030_2050!E:E, MATCH($A25, Cooper_pop_2030_2050!B:B, 0)))-(INDEX(Cooper_pop_2030_2050!D:D, MATCH($A25, Cooper_pop_2030_2050!B:B, 0))))</f>
        <v>2920845.7603178821</v>
      </c>
      <c r="L25">
        <f>(INDEX(Cooper_pop_2030_2050!D:D, MATCH($A25, Cooper_pop_2030_2050!B:B, 0)))+0.4*((INDEX(Cooper_pop_2030_2050!E:E, MATCH($A25, Cooper_pop_2030_2050!B:B, 0)))-(INDEX(Cooper_pop_2030_2050!D:D, MATCH($A25, Cooper_pop_2030_2050!B:B, 0))))</f>
        <v>2908870.4795644409</v>
      </c>
      <c r="M25">
        <f>(INDEX(Cooper_pop_2030_2050!D:D, MATCH($A25, Cooper_pop_2030_2050!B:B, 0)))+0.5*((INDEX(Cooper_pop_2030_2050!E:E, MATCH($A25, Cooper_pop_2030_2050!B:B, 0)))-(INDEX(Cooper_pop_2030_2050!D:D, MATCH($A25, Cooper_pop_2030_2050!B:B, 0))))</f>
        <v>2896895.1988110002</v>
      </c>
      <c r="N25">
        <f>(INDEX(Cooper_pop_2030_2050!D:D, MATCH($A25, Cooper_pop_2030_2050!B:B, 0)))+0.6*((INDEX(Cooper_pop_2030_2050!E:E, MATCH($A25, Cooper_pop_2030_2050!B:B, 0)))-(INDEX(Cooper_pop_2030_2050!D:D, MATCH($A25, Cooper_pop_2030_2050!B:B, 0))))</f>
        <v>2884919.9180575591</v>
      </c>
      <c r="O25">
        <f>(INDEX(Cooper_pop_2030_2050!D:D, MATCH($A25, Cooper_pop_2030_2050!B:B, 0)))+0.7*((INDEX(Cooper_pop_2030_2050!E:E, MATCH($A25, Cooper_pop_2030_2050!B:B, 0)))-(INDEX(Cooper_pop_2030_2050!D:D, MATCH($A25, Cooper_pop_2030_2050!B:B, 0))))</f>
        <v>2872944.6373041179</v>
      </c>
      <c r="P25">
        <f>(INDEX(Cooper_pop_2030_2050!D:D, MATCH($A25, Cooper_pop_2030_2050!B:B, 0)))+0.8*((INDEX(Cooper_pop_2030_2050!E:E, MATCH($A25, Cooper_pop_2030_2050!B:B, 0)))-(INDEX(Cooper_pop_2030_2050!D:D, MATCH($A25, Cooper_pop_2030_2050!B:B, 0))))</f>
        <v>2860969.3565506767</v>
      </c>
      <c r="Q25">
        <f>(INDEX(Cooper_pop_2030_2050!D:D, MATCH($A25, Cooper_pop_2030_2050!B:B, 0)))+0.9*((INDEX(Cooper_pop_2030_2050!E:E, MATCH($A25, Cooper_pop_2030_2050!B:B, 0)))-(INDEX(Cooper_pop_2030_2050!D:D, MATCH($A25, Cooper_pop_2030_2050!B:B, 0))))</f>
        <v>2848994.0757972361</v>
      </c>
      <c r="R25">
        <f>INDEX(Cooper_pop_2030_2050!E:E, MATCH($A25, Cooper_pop_2030_2050!B:B, 0))</f>
        <v>2837018.7950437949</v>
      </c>
      <c r="S25">
        <f>(INDEX(Cooper_pop_2030_2050!E:E, MATCH($A25, Cooper_pop_2030_2050!B:B, 0)))+0.1*((INDEX(Cooper_pop_2030_2050!F:F, MATCH($A25, Cooper_pop_2030_2050!B:B, 0)))-(INDEX(Cooper_pop_2030_2050!E:E, MATCH($A25, Cooper_pop_2030_2050!B:B, 0))))</f>
        <v>2822338.7798948507</v>
      </c>
      <c r="T25">
        <f>(INDEX(Cooper_pop_2030_2050!E:E, MATCH($A25, Cooper_pop_2030_2050!B:B, 0)))+0.2*((INDEX(Cooper_pop_2030_2050!F:F, MATCH($A25, Cooper_pop_2030_2050!B:B, 0)))-(INDEX(Cooper_pop_2030_2050!E:E, MATCH($A25, Cooper_pop_2030_2050!B:B, 0))))</f>
        <v>2807658.7647459065</v>
      </c>
      <c r="U25">
        <f>(INDEX(Cooper_pop_2030_2050!E:E, MATCH($A25, Cooper_pop_2030_2050!B:B, 0)))+0.3*((INDEX(Cooper_pop_2030_2050!F:F, MATCH($A25, Cooper_pop_2030_2050!B:B, 0)))-(INDEX(Cooper_pop_2030_2050!E:E, MATCH($A25, Cooper_pop_2030_2050!B:B, 0))))</f>
        <v>2792978.7495969622</v>
      </c>
      <c r="V25">
        <f>(INDEX(Cooper_pop_2030_2050!E:E, MATCH($A25, Cooper_pop_2030_2050!B:B, 0)))+0.4*((INDEX(Cooper_pop_2030_2050!F:F, MATCH($A25, Cooper_pop_2030_2050!B:B, 0)))-(INDEX(Cooper_pop_2030_2050!E:E, MATCH($A25, Cooper_pop_2030_2050!B:B, 0))))</f>
        <v>2778298.734448018</v>
      </c>
      <c r="W25">
        <f>(INDEX(Cooper_pop_2030_2050!E:E, MATCH($A25, Cooper_pop_2030_2050!B:B, 0)))+0.5*((INDEX(Cooper_pop_2030_2050!F:F, MATCH($A25, Cooper_pop_2030_2050!B:B, 0)))-(INDEX(Cooper_pop_2030_2050!E:E, MATCH($A25, Cooper_pop_2030_2050!B:B, 0))))</f>
        <v>2763618.7192990743</v>
      </c>
      <c r="X25">
        <f>(INDEX(Cooper_pop_2030_2050!E:E, MATCH($A25, Cooper_pop_2030_2050!B:B, 0)))+0.6*((INDEX(Cooper_pop_2030_2050!F:F, MATCH($A25, Cooper_pop_2030_2050!B:B, 0)))-(INDEX(Cooper_pop_2030_2050!E:E, MATCH($A25, Cooper_pop_2030_2050!B:B, 0))))</f>
        <v>2748938.70415013</v>
      </c>
      <c r="Y25">
        <f>(INDEX(Cooper_pop_2030_2050!E:E, MATCH($A25, Cooper_pop_2030_2050!B:B, 0)))+0.7*((INDEX(Cooper_pop_2030_2050!F:F, MATCH($A25, Cooper_pop_2030_2050!B:B, 0)))-(INDEX(Cooper_pop_2030_2050!E:E, MATCH($A25, Cooper_pop_2030_2050!B:B, 0))))</f>
        <v>2734258.6890011858</v>
      </c>
      <c r="Z25">
        <f>(INDEX(Cooper_pop_2030_2050!E:E, MATCH($A25, Cooper_pop_2030_2050!B:B, 0)))+0.8*((INDEX(Cooper_pop_2030_2050!F:F, MATCH($A25, Cooper_pop_2030_2050!B:B, 0)))-(INDEX(Cooper_pop_2030_2050!E:E, MATCH($A25, Cooper_pop_2030_2050!B:B, 0))))</f>
        <v>2719578.6738522416</v>
      </c>
      <c r="AA25">
        <f>(INDEX(Cooper_pop_2030_2050!E:E, MATCH($A25, Cooper_pop_2030_2050!B:B, 0)))+0.9*((INDEX(Cooper_pop_2030_2050!F:F, MATCH($A25, Cooper_pop_2030_2050!B:B, 0)))-(INDEX(Cooper_pop_2030_2050!E:E, MATCH($A25, Cooper_pop_2030_2050!B:B, 0))))</f>
        <v>2704898.6587032974</v>
      </c>
      <c r="AB25">
        <f>INDEX(Cooper_pop_2030_2050!F:F, MATCH($A25, Cooper_pop_2030_2050!B:B, 0))</f>
        <v>2690218.6435543532</v>
      </c>
    </row>
    <row r="26" spans="1:28">
      <c r="A26" t="s">
        <v>2910</v>
      </c>
      <c r="B26">
        <f>IFERROR(INDEX(Census_pop_2020_2025!G:G, MATCH("."&amp;$A26, Census_pop_2020_2025!A:A, 0)),INDEX(Census_pop_2020_2025!G:G, MATCH($A26, Census_pop_2020_2025!A:A, 0)))</f>
        <v>6243544</v>
      </c>
      <c r="C26">
        <f>IFERROR(INDEX(Census_pop_2020_2025!H:H, MATCH("."&amp;$A26, Census_pop_2020_2025!A:A, 0)),INDEX(Census_pop_2020_2025!H:H, MATCH($A26, Census_pop_2020_2025!A:A, 0)))</f>
        <v>6270541</v>
      </c>
      <c r="D26">
        <f>(IFERROR(INDEX(Census_pop_2020_2025!H:H, MATCH("."&amp;$A26, Census_pop_2020_2025!A:A, 0)),INDEX(Census_pop_2020_2025!H:H, MATCH($A26, Census_pop_2020_2025!A:A, 0))))+0.2*((INDEX(Cooper_pop_2030_2050!D:D, MATCH($A26, Cooper_pop_2030_2050!B:B, 0)))-(IFERROR(INDEX(Census_pop_2020_2025!H:H, MATCH("."&amp;$A26, Census_pop_2020_2025!A:A, 0)),INDEX(Census_pop_2020_2025!H:H, MATCH($A26, Census_pop_2020_2025!A:A, 0)))))</f>
        <v>6272773.338203772</v>
      </c>
      <c r="E26">
        <f>(IFERROR(INDEX(Census_pop_2020_2025!H:H, MATCH("."&amp;$A26, Census_pop_2020_2025!A:A, 0)),INDEX(Census_pop_2020_2025!H:H, MATCH($A26, Census_pop_2020_2025!A:A, 0))))+0.4*((INDEX(Cooper_pop_2030_2050!D:D, MATCH($A26, Cooper_pop_2030_2050!B:B, 0)))-(IFERROR(INDEX(Census_pop_2020_2025!H:H, MATCH("."&amp;$A26, Census_pop_2020_2025!A:A, 0)),INDEX(Census_pop_2020_2025!H:H, MATCH($A26, Census_pop_2020_2025!A:A, 0)))))</f>
        <v>6275005.6764075439</v>
      </c>
      <c r="F26">
        <f>(IFERROR(INDEX(Census_pop_2020_2025!H:H, MATCH("."&amp;$A26, Census_pop_2020_2025!A:A, 0)),INDEX(Census_pop_2020_2025!H:H, MATCH($A26, Census_pop_2020_2025!A:A, 0))))+0.6*((INDEX(Cooper_pop_2030_2050!D:D, MATCH($A26, Cooper_pop_2030_2050!B:B, 0)))-(IFERROR(INDEX(Census_pop_2020_2025!H:H, MATCH("."&amp;$A26, Census_pop_2020_2025!A:A, 0)),INDEX(Census_pop_2020_2025!H:H, MATCH($A26, Census_pop_2020_2025!A:A, 0)))))</f>
        <v>6277238.014611315</v>
      </c>
      <c r="G26">
        <f>(IFERROR(INDEX(Census_pop_2020_2025!H:H, MATCH("."&amp;$A26, Census_pop_2020_2025!A:A, 0)),INDEX(Census_pop_2020_2025!H:H, MATCH($A26, Census_pop_2020_2025!A:A, 0))))+0.8*((INDEX(Cooper_pop_2030_2050!D:D, MATCH($A26, Cooper_pop_2030_2050!B:B, 0)))-(IFERROR(INDEX(Census_pop_2020_2025!H:H, MATCH("."&amp;$A26, Census_pop_2020_2025!A:A, 0)),INDEX(Census_pop_2020_2025!H:H, MATCH($A26, Census_pop_2020_2025!A:A, 0)))))</f>
        <v>6279470.352815087</v>
      </c>
      <c r="H26">
        <f>INDEX(Cooper_pop_2030_2050!D:D, MATCH($A26, Cooper_pop_2030_2050!B:B, 0))</f>
        <v>6281702.6910188589</v>
      </c>
      <c r="I26">
        <f>(INDEX(Cooper_pop_2030_2050!D:D, MATCH($A26, Cooper_pop_2030_2050!B:B, 0)))+0.1*((INDEX(Cooper_pop_2030_2050!E:E, MATCH($A26, Cooper_pop_2030_2050!B:B, 0)))-(INDEX(Cooper_pop_2030_2050!D:D, MATCH($A26, Cooper_pop_2030_2050!B:B, 0))))</f>
        <v>6274224.7849982791</v>
      </c>
      <c r="J26">
        <f>(INDEX(Cooper_pop_2030_2050!D:D, MATCH($A26, Cooper_pop_2030_2050!B:B, 0)))+0.2*((INDEX(Cooper_pop_2030_2050!E:E, MATCH($A26, Cooper_pop_2030_2050!B:B, 0)))-(INDEX(Cooper_pop_2030_2050!D:D, MATCH($A26, Cooper_pop_2030_2050!B:B, 0))))</f>
        <v>6266746.8789776992</v>
      </c>
      <c r="K26">
        <f>(INDEX(Cooper_pop_2030_2050!D:D, MATCH($A26, Cooper_pop_2030_2050!B:B, 0)))+0.3*((INDEX(Cooper_pop_2030_2050!E:E, MATCH($A26, Cooper_pop_2030_2050!B:B, 0)))-(INDEX(Cooper_pop_2030_2050!D:D, MATCH($A26, Cooper_pop_2030_2050!B:B, 0))))</f>
        <v>6259268.9729571203</v>
      </c>
      <c r="L26">
        <f>(INDEX(Cooper_pop_2030_2050!D:D, MATCH($A26, Cooper_pop_2030_2050!B:B, 0)))+0.4*((INDEX(Cooper_pop_2030_2050!E:E, MATCH($A26, Cooper_pop_2030_2050!B:B, 0)))-(INDEX(Cooper_pop_2030_2050!D:D, MATCH($A26, Cooper_pop_2030_2050!B:B, 0))))</f>
        <v>6251791.0669365404</v>
      </c>
      <c r="M26">
        <f>(INDEX(Cooper_pop_2030_2050!D:D, MATCH($A26, Cooper_pop_2030_2050!B:B, 0)))+0.5*((INDEX(Cooper_pop_2030_2050!E:E, MATCH($A26, Cooper_pop_2030_2050!B:B, 0)))-(INDEX(Cooper_pop_2030_2050!D:D, MATCH($A26, Cooper_pop_2030_2050!B:B, 0))))</f>
        <v>6244313.1609159606</v>
      </c>
      <c r="N26">
        <f>(INDEX(Cooper_pop_2030_2050!D:D, MATCH($A26, Cooper_pop_2030_2050!B:B, 0)))+0.6*((INDEX(Cooper_pop_2030_2050!E:E, MATCH($A26, Cooper_pop_2030_2050!B:B, 0)))-(INDEX(Cooper_pop_2030_2050!D:D, MATCH($A26, Cooper_pop_2030_2050!B:B, 0))))</f>
        <v>6236835.2548953807</v>
      </c>
      <c r="O26">
        <f>(INDEX(Cooper_pop_2030_2050!D:D, MATCH($A26, Cooper_pop_2030_2050!B:B, 0)))+0.7*((INDEX(Cooper_pop_2030_2050!E:E, MATCH($A26, Cooper_pop_2030_2050!B:B, 0)))-(INDEX(Cooper_pop_2030_2050!D:D, MATCH($A26, Cooper_pop_2030_2050!B:B, 0))))</f>
        <v>6229357.3488748008</v>
      </c>
      <c r="P26">
        <f>(INDEX(Cooper_pop_2030_2050!D:D, MATCH($A26, Cooper_pop_2030_2050!B:B, 0)))+0.8*((INDEX(Cooper_pop_2030_2050!E:E, MATCH($A26, Cooper_pop_2030_2050!B:B, 0)))-(INDEX(Cooper_pop_2030_2050!D:D, MATCH($A26, Cooper_pop_2030_2050!B:B, 0))))</f>
        <v>6221879.4428542219</v>
      </c>
      <c r="Q26">
        <f>(INDEX(Cooper_pop_2030_2050!D:D, MATCH($A26, Cooper_pop_2030_2050!B:B, 0)))+0.9*((INDEX(Cooper_pop_2030_2050!E:E, MATCH($A26, Cooper_pop_2030_2050!B:B, 0)))-(INDEX(Cooper_pop_2030_2050!D:D, MATCH($A26, Cooper_pop_2030_2050!B:B, 0))))</f>
        <v>6214401.5368336421</v>
      </c>
      <c r="R26">
        <f>INDEX(Cooper_pop_2030_2050!E:E, MATCH($A26, Cooper_pop_2030_2050!B:B, 0))</f>
        <v>6206923.6308130622</v>
      </c>
      <c r="S26">
        <f>(INDEX(Cooper_pop_2030_2050!E:E, MATCH($A26, Cooper_pop_2030_2050!B:B, 0)))+0.1*((INDEX(Cooper_pop_2030_2050!F:F, MATCH($A26, Cooper_pop_2030_2050!B:B, 0)))-(INDEX(Cooper_pop_2030_2050!E:E, MATCH($A26, Cooper_pop_2030_2050!B:B, 0))))</f>
        <v>6192348.1167167826</v>
      </c>
      <c r="T26">
        <f>(INDEX(Cooper_pop_2030_2050!E:E, MATCH($A26, Cooper_pop_2030_2050!B:B, 0)))+0.2*((INDEX(Cooper_pop_2030_2050!F:F, MATCH($A26, Cooper_pop_2030_2050!B:B, 0)))-(INDEX(Cooper_pop_2030_2050!E:E, MATCH($A26, Cooper_pop_2030_2050!B:B, 0))))</f>
        <v>6177772.6026205029</v>
      </c>
      <c r="U26">
        <f>(INDEX(Cooper_pop_2030_2050!E:E, MATCH($A26, Cooper_pop_2030_2050!B:B, 0)))+0.3*((INDEX(Cooper_pop_2030_2050!F:F, MATCH($A26, Cooper_pop_2030_2050!B:B, 0)))-(INDEX(Cooper_pop_2030_2050!E:E, MATCH($A26, Cooper_pop_2030_2050!B:B, 0))))</f>
        <v>6163197.0885242242</v>
      </c>
      <c r="V26">
        <f>(INDEX(Cooper_pop_2030_2050!E:E, MATCH($A26, Cooper_pop_2030_2050!B:B, 0)))+0.4*((INDEX(Cooper_pop_2030_2050!F:F, MATCH($A26, Cooper_pop_2030_2050!B:B, 0)))-(INDEX(Cooper_pop_2030_2050!E:E, MATCH($A26, Cooper_pop_2030_2050!B:B, 0))))</f>
        <v>6148621.5744279446</v>
      </c>
      <c r="W26">
        <f>(INDEX(Cooper_pop_2030_2050!E:E, MATCH($A26, Cooper_pop_2030_2050!B:B, 0)))+0.5*((INDEX(Cooper_pop_2030_2050!F:F, MATCH($A26, Cooper_pop_2030_2050!B:B, 0)))-(INDEX(Cooper_pop_2030_2050!E:E, MATCH($A26, Cooper_pop_2030_2050!B:B, 0))))</f>
        <v>6134046.060331665</v>
      </c>
      <c r="X26">
        <f>(INDEX(Cooper_pop_2030_2050!E:E, MATCH($A26, Cooper_pop_2030_2050!B:B, 0)))+0.6*((INDEX(Cooper_pop_2030_2050!F:F, MATCH($A26, Cooper_pop_2030_2050!B:B, 0)))-(INDEX(Cooper_pop_2030_2050!E:E, MATCH($A26, Cooper_pop_2030_2050!B:B, 0))))</f>
        <v>6119470.5462353854</v>
      </c>
      <c r="Y26">
        <f>(INDEX(Cooper_pop_2030_2050!E:E, MATCH($A26, Cooper_pop_2030_2050!B:B, 0)))+0.7*((INDEX(Cooper_pop_2030_2050!F:F, MATCH($A26, Cooper_pop_2030_2050!B:B, 0)))-(INDEX(Cooper_pop_2030_2050!E:E, MATCH($A26, Cooper_pop_2030_2050!B:B, 0))))</f>
        <v>6104895.0321391057</v>
      </c>
      <c r="Z26">
        <f>(INDEX(Cooper_pop_2030_2050!E:E, MATCH($A26, Cooper_pop_2030_2050!B:B, 0)))+0.8*((INDEX(Cooper_pop_2030_2050!F:F, MATCH($A26, Cooper_pop_2030_2050!B:B, 0)))-(INDEX(Cooper_pop_2030_2050!E:E, MATCH($A26, Cooper_pop_2030_2050!B:B, 0))))</f>
        <v>6090319.518042827</v>
      </c>
      <c r="AA26">
        <f>(INDEX(Cooper_pop_2030_2050!E:E, MATCH($A26, Cooper_pop_2030_2050!B:B, 0)))+0.9*((INDEX(Cooper_pop_2030_2050!F:F, MATCH($A26, Cooper_pop_2030_2050!B:B, 0)))-(INDEX(Cooper_pop_2030_2050!E:E, MATCH($A26, Cooper_pop_2030_2050!B:B, 0))))</f>
        <v>6075744.0039465474</v>
      </c>
      <c r="AB26">
        <f>INDEX(Cooper_pop_2030_2050!F:F, MATCH($A26, Cooper_pop_2030_2050!B:B, 0))</f>
        <v>6061168.4898502678</v>
      </c>
    </row>
    <row r="27" spans="1:28">
      <c r="A27" t="s">
        <v>2911</v>
      </c>
      <c r="B27">
        <f>IFERROR(INDEX(Census_pop_2020_2025!G:G, MATCH("."&amp;$A27, Census_pop_2020_2025!A:A, 0)),INDEX(Census_pop_2020_2025!G:G, MATCH($A27, Census_pop_2020_2025!A:A, 0)))</f>
        <v>1137557</v>
      </c>
      <c r="C27">
        <f>IFERROR(INDEX(Census_pop_2020_2025!H:H, MATCH("."&amp;$A27, Census_pop_2020_2025!A:A, 0)),INDEX(Census_pop_2020_2025!H:H, MATCH($A27, Census_pop_2020_2025!A:A, 0)))</f>
        <v>1144694</v>
      </c>
      <c r="D27">
        <f>(IFERROR(INDEX(Census_pop_2020_2025!H:H, MATCH("."&amp;$A27, Census_pop_2020_2025!A:A, 0)),INDEX(Census_pop_2020_2025!H:H, MATCH($A27, Census_pop_2020_2025!A:A, 0))))+0.2*((INDEX(Cooper_pop_2030_2050!D:D, MATCH($A27, Cooper_pop_2030_2050!B:B, 0)))-(IFERROR(INDEX(Census_pop_2020_2025!H:H, MATCH("."&amp;$A27, Census_pop_2020_2025!A:A, 0)),INDEX(Census_pop_2020_2025!H:H, MATCH($A27, Census_pop_2020_2025!A:A, 0)))))</f>
        <v>1147730.2101903651</v>
      </c>
      <c r="E27">
        <f>(IFERROR(INDEX(Census_pop_2020_2025!H:H, MATCH("."&amp;$A27, Census_pop_2020_2025!A:A, 0)),INDEX(Census_pop_2020_2025!H:H, MATCH($A27, Census_pop_2020_2025!A:A, 0))))+0.4*((INDEX(Cooper_pop_2030_2050!D:D, MATCH($A27, Cooper_pop_2030_2050!B:B, 0)))-(IFERROR(INDEX(Census_pop_2020_2025!H:H, MATCH("."&amp;$A27, Census_pop_2020_2025!A:A, 0)),INDEX(Census_pop_2020_2025!H:H, MATCH($A27, Census_pop_2020_2025!A:A, 0)))))</f>
        <v>1150766.4203807299</v>
      </c>
      <c r="F27">
        <f>(IFERROR(INDEX(Census_pop_2020_2025!H:H, MATCH("."&amp;$A27, Census_pop_2020_2025!A:A, 0)),INDEX(Census_pop_2020_2025!H:H, MATCH($A27, Census_pop_2020_2025!A:A, 0))))+0.6*((INDEX(Cooper_pop_2030_2050!D:D, MATCH($A27, Cooper_pop_2030_2050!B:B, 0)))-(IFERROR(INDEX(Census_pop_2020_2025!H:H, MATCH("."&amp;$A27, Census_pop_2020_2025!A:A, 0)),INDEX(Census_pop_2020_2025!H:H, MATCH($A27, Census_pop_2020_2025!A:A, 0)))))</f>
        <v>1153802.630571095</v>
      </c>
      <c r="G27">
        <f>(IFERROR(INDEX(Census_pop_2020_2025!H:H, MATCH("."&amp;$A27, Census_pop_2020_2025!A:A, 0)),INDEX(Census_pop_2020_2025!H:H, MATCH($A27, Census_pop_2020_2025!A:A, 0))))+0.8*((INDEX(Cooper_pop_2030_2050!D:D, MATCH($A27, Cooper_pop_2030_2050!B:B, 0)))-(IFERROR(INDEX(Census_pop_2020_2025!H:H, MATCH("."&amp;$A27, Census_pop_2020_2025!A:A, 0)),INDEX(Census_pop_2020_2025!H:H, MATCH($A27, Census_pop_2020_2025!A:A, 0)))))</f>
        <v>1156838.8407614599</v>
      </c>
      <c r="H27">
        <f>INDEX(Cooper_pop_2030_2050!D:D, MATCH($A27, Cooper_pop_2030_2050!B:B, 0))</f>
        <v>1159875.050951825</v>
      </c>
      <c r="I27">
        <f>(INDEX(Cooper_pop_2030_2050!D:D, MATCH($A27, Cooper_pop_2030_2050!B:B, 0)))+0.1*((INDEX(Cooper_pop_2030_2050!E:E, MATCH($A27, Cooper_pop_2030_2050!B:B, 0)))-(INDEX(Cooper_pop_2030_2050!D:D, MATCH($A27, Cooper_pop_2030_2050!B:B, 0))))</f>
        <v>1166089.5303757135</v>
      </c>
      <c r="J27">
        <f>(INDEX(Cooper_pop_2030_2050!D:D, MATCH($A27, Cooper_pop_2030_2050!B:B, 0)))+0.2*((INDEX(Cooper_pop_2030_2050!E:E, MATCH($A27, Cooper_pop_2030_2050!B:B, 0)))-(INDEX(Cooper_pop_2030_2050!D:D, MATCH($A27, Cooper_pop_2030_2050!B:B, 0))))</f>
        <v>1172304.0097996022</v>
      </c>
      <c r="K27">
        <f>(INDEX(Cooper_pop_2030_2050!D:D, MATCH($A27, Cooper_pop_2030_2050!B:B, 0)))+0.3*((INDEX(Cooper_pop_2030_2050!E:E, MATCH($A27, Cooper_pop_2030_2050!B:B, 0)))-(INDEX(Cooper_pop_2030_2050!D:D, MATCH($A27, Cooper_pop_2030_2050!B:B, 0))))</f>
        <v>1178518.4892234909</v>
      </c>
      <c r="L27">
        <f>(INDEX(Cooper_pop_2030_2050!D:D, MATCH($A27, Cooper_pop_2030_2050!B:B, 0)))+0.4*((INDEX(Cooper_pop_2030_2050!E:E, MATCH($A27, Cooper_pop_2030_2050!B:B, 0)))-(INDEX(Cooper_pop_2030_2050!D:D, MATCH($A27, Cooper_pop_2030_2050!B:B, 0))))</f>
        <v>1184732.9686473794</v>
      </c>
      <c r="M27">
        <f>(INDEX(Cooper_pop_2030_2050!D:D, MATCH($A27, Cooper_pop_2030_2050!B:B, 0)))+0.5*((INDEX(Cooper_pop_2030_2050!E:E, MATCH($A27, Cooper_pop_2030_2050!B:B, 0)))-(INDEX(Cooper_pop_2030_2050!D:D, MATCH($A27, Cooper_pop_2030_2050!B:B, 0))))</f>
        <v>1190947.4480712679</v>
      </c>
      <c r="N27">
        <f>(INDEX(Cooper_pop_2030_2050!D:D, MATCH($A27, Cooper_pop_2030_2050!B:B, 0)))+0.6*((INDEX(Cooper_pop_2030_2050!E:E, MATCH($A27, Cooper_pop_2030_2050!B:B, 0)))-(INDEX(Cooper_pop_2030_2050!D:D, MATCH($A27, Cooper_pop_2030_2050!B:B, 0))))</f>
        <v>1197161.9274951566</v>
      </c>
      <c r="O27">
        <f>(INDEX(Cooper_pop_2030_2050!D:D, MATCH($A27, Cooper_pop_2030_2050!B:B, 0)))+0.7*((INDEX(Cooper_pop_2030_2050!E:E, MATCH($A27, Cooper_pop_2030_2050!B:B, 0)))-(INDEX(Cooper_pop_2030_2050!D:D, MATCH($A27, Cooper_pop_2030_2050!B:B, 0))))</f>
        <v>1203376.4069190454</v>
      </c>
      <c r="P27">
        <f>(INDEX(Cooper_pop_2030_2050!D:D, MATCH($A27, Cooper_pop_2030_2050!B:B, 0)))+0.8*((INDEX(Cooper_pop_2030_2050!E:E, MATCH($A27, Cooper_pop_2030_2050!B:B, 0)))-(INDEX(Cooper_pop_2030_2050!D:D, MATCH($A27, Cooper_pop_2030_2050!B:B, 0))))</f>
        <v>1209590.8863429339</v>
      </c>
      <c r="Q27">
        <f>(INDEX(Cooper_pop_2030_2050!D:D, MATCH($A27, Cooper_pop_2030_2050!B:B, 0)))+0.9*((INDEX(Cooper_pop_2030_2050!E:E, MATCH($A27, Cooper_pop_2030_2050!B:B, 0)))-(INDEX(Cooper_pop_2030_2050!D:D, MATCH($A27, Cooper_pop_2030_2050!B:B, 0))))</f>
        <v>1215805.3657668224</v>
      </c>
      <c r="R27">
        <f>INDEX(Cooper_pop_2030_2050!E:E, MATCH($A27, Cooper_pop_2030_2050!B:B, 0))</f>
        <v>1222019.8451907111</v>
      </c>
      <c r="S27">
        <f>(INDEX(Cooper_pop_2030_2050!E:E, MATCH($A27, Cooper_pop_2030_2050!B:B, 0)))+0.1*((INDEX(Cooper_pop_2030_2050!F:F, MATCH($A27, Cooper_pop_2030_2050!B:B, 0)))-(INDEX(Cooper_pop_2030_2050!E:E, MATCH($A27, Cooper_pop_2030_2050!B:B, 0))))</f>
        <v>1227058.6168330878</v>
      </c>
      <c r="T27">
        <f>(INDEX(Cooper_pop_2030_2050!E:E, MATCH($A27, Cooper_pop_2030_2050!B:B, 0)))+0.2*((INDEX(Cooper_pop_2030_2050!F:F, MATCH($A27, Cooper_pop_2030_2050!B:B, 0)))-(INDEX(Cooper_pop_2030_2050!E:E, MATCH($A27, Cooper_pop_2030_2050!B:B, 0))))</f>
        <v>1232097.3884754642</v>
      </c>
      <c r="U27">
        <f>(INDEX(Cooper_pop_2030_2050!E:E, MATCH($A27, Cooper_pop_2030_2050!B:B, 0)))+0.3*((INDEX(Cooper_pop_2030_2050!F:F, MATCH($A27, Cooper_pop_2030_2050!B:B, 0)))-(INDEX(Cooper_pop_2030_2050!E:E, MATCH($A27, Cooper_pop_2030_2050!B:B, 0))))</f>
        <v>1237136.1601178409</v>
      </c>
      <c r="V27">
        <f>(INDEX(Cooper_pop_2030_2050!E:E, MATCH($A27, Cooper_pop_2030_2050!B:B, 0)))+0.4*((INDEX(Cooper_pop_2030_2050!F:F, MATCH($A27, Cooper_pop_2030_2050!B:B, 0)))-(INDEX(Cooper_pop_2030_2050!E:E, MATCH($A27, Cooper_pop_2030_2050!B:B, 0))))</f>
        <v>1242174.9317602175</v>
      </c>
      <c r="W27">
        <f>(INDEX(Cooper_pop_2030_2050!E:E, MATCH($A27, Cooper_pop_2030_2050!B:B, 0)))+0.5*((INDEX(Cooper_pop_2030_2050!F:F, MATCH($A27, Cooper_pop_2030_2050!B:B, 0)))-(INDEX(Cooper_pop_2030_2050!E:E, MATCH($A27, Cooper_pop_2030_2050!B:B, 0))))</f>
        <v>1247213.7034025942</v>
      </c>
      <c r="X27">
        <f>(INDEX(Cooper_pop_2030_2050!E:E, MATCH($A27, Cooper_pop_2030_2050!B:B, 0)))+0.6*((INDEX(Cooper_pop_2030_2050!F:F, MATCH($A27, Cooper_pop_2030_2050!B:B, 0)))-(INDEX(Cooper_pop_2030_2050!E:E, MATCH($A27, Cooper_pop_2030_2050!B:B, 0))))</f>
        <v>1252252.4750449706</v>
      </c>
      <c r="Y27">
        <f>(INDEX(Cooper_pop_2030_2050!E:E, MATCH($A27, Cooper_pop_2030_2050!B:B, 0)))+0.7*((INDEX(Cooper_pop_2030_2050!F:F, MATCH($A27, Cooper_pop_2030_2050!B:B, 0)))-(INDEX(Cooper_pop_2030_2050!E:E, MATCH($A27, Cooper_pop_2030_2050!B:B, 0))))</f>
        <v>1257291.2466873473</v>
      </c>
      <c r="Z27">
        <f>(INDEX(Cooper_pop_2030_2050!E:E, MATCH($A27, Cooper_pop_2030_2050!B:B, 0)))+0.8*((INDEX(Cooper_pop_2030_2050!F:F, MATCH($A27, Cooper_pop_2030_2050!B:B, 0)))-(INDEX(Cooper_pop_2030_2050!E:E, MATCH($A27, Cooper_pop_2030_2050!B:B, 0))))</f>
        <v>1262330.018329724</v>
      </c>
      <c r="AA27">
        <f>(INDEX(Cooper_pop_2030_2050!E:E, MATCH($A27, Cooper_pop_2030_2050!B:B, 0)))+0.9*((INDEX(Cooper_pop_2030_2050!F:F, MATCH($A27, Cooper_pop_2030_2050!B:B, 0)))-(INDEX(Cooper_pop_2030_2050!E:E, MATCH($A27, Cooper_pop_2030_2050!B:B, 0))))</f>
        <v>1267368.7899721004</v>
      </c>
      <c r="AB27">
        <f>INDEX(Cooper_pop_2030_2050!F:F, MATCH($A27, Cooper_pop_2030_2050!B:B, 0))</f>
        <v>1272407.5616144771</v>
      </c>
    </row>
    <row r="28" spans="1:28">
      <c r="A28" t="s">
        <v>2912</v>
      </c>
      <c r="B28">
        <f>IFERROR(INDEX(Census_pop_2020_2025!G:G, MATCH("."&amp;$A28, Census_pop_2020_2025!A:A, 0)),INDEX(Census_pop_2020_2025!G:G, MATCH($A28, Census_pop_2020_2025!A:A, 0)))</f>
        <v>2005591</v>
      </c>
      <c r="C28">
        <f>IFERROR(INDEX(Census_pop_2020_2025!H:H, MATCH("."&amp;$A28, Census_pop_2020_2025!A:A, 0)),INDEX(Census_pop_2020_2025!H:H, MATCH($A28, Census_pop_2020_2025!A:A, 0)))</f>
        <v>2018006</v>
      </c>
      <c r="D28">
        <f>(IFERROR(INDEX(Census_pop_2020_2025!H:H, MATCH("."&amp;$A28, Census_pop_2020_2025!A:A, 0)),INDEX(Census_pop_2020_2025!H:H, MATCH($A28, Census_pop_2020_2025!A:A, 0))))+0.2*((INDEX(Cooper_pop_2030_2050!D:D, MATCH($A28, Cooper_pop_2030_2050!B:B, 0)))-(IFERROR(INDEX(Census_pop_2020_2025!H:H, MATCH("."&amp;$A28, Census_pop_2020_2025!A:A, 0)),INDEX(Census_pop_2020_2025!H:H, MATCH($A28, Census_pop_2020_2025!A:A, 0)))))</f>
        <v>2027980.3580787762</v>
      </c>
      <c r="E28">
        <f>(IFERROR(INDEX(Census_pop_2020_2025!H:H, MATCH("."&amp;$A28, Census_pop_2020_2025!A:A, 0)),INDEX(Census_pop_2020_2025!H:H, MATCH($A28, Census_pop_2020_2025!A:A, 0))))+0.4*((INDEX(Cooper_pop_2030_2050!D:D, MATCH($A28, Cooper_pop_2030_2050!B:B, 0)))-(IFERROR(INDEX(Census_pop_2020_2025!H:H, MATCH("."&amp;$A28, Census_pop_2020_2025!A:A, 0)),INDEX(Census_pop_2020_2025!H:H, MATCH($A28, Census_pop_2020_2025!A:A, 0)))))</f>
        <v>2037954.7161575523</v>
      </c>
      <c r="F28">
        <f>(IFERROR(INDEX(Census_pop_2020_2025!H:H, MATCH("."&amp;$A28, Census_pop_2020_2025!A:A, 0)),INDEX(Census_pop_2020_2025!H:H, MATCH($A28, Census_pop_2020_2025!A:A, 0))))+0.6*((INDEX(Cooper_pop_2030_2050!D:D, MATCH($A28, Cooper_pop_2030_2050!B:B, 0)))-(IFERROR(INDEX(Census_pop_2020_2025!H:H, MATCH("."&amp;$A28, Census_pop_2020_2025!A:A, 0)),INDEX(Census_pop_2020_2025!H:H, MATCH($A28, Census_pop_2020_2025!A:A, 0)))))</f>
        <v>2047929.0742363287</v>
      </c>
      <c r="G28">
        <f>(IFERROR(INDEX(Census_pop_2020_2025!H:H, MATCH("."&amp;$A28, Census_pop_2020_2025!A:A, 0)),INDEX(Census_pop_2020_2025!H:H, MATCH($A28, Census_pop_2020_2025!A:A, 0))))+0.8*((INDEX(Cooper_pop_2030_2050!D:D, MATCH($A28, Cooper_pop_2030_2050!B:B, 0)))-(IFERROR(INDEX(Census_pop_2020_2025!H:H, MATCH("."&amp;$A28, Census_pop_2020_2025!A:A, 0)),INDEX(Census_pop_2020_2025!H:H, MATCH($A28, Census_pop_2020_2025!A:A, 0)))))</f>
        <v>2057903.4323151049</v>
      </c>
      <c r="H28">
        <f>INDEX(Cooper_pop_2030_2050!D:D, MATCH($A28, Cooper_pop_2030_2050!B:B, 0))</f>
        <v>2067877.790393881</v>
      </c>
      <c r="I28">
        <f>(INDEX(Cooper_pop_2030_2050!D:D, MATCH($A28, Cooper_pop_2030_2050!B:B, 0)))+0.1*((INDEX(Cooper_pop_2030_2050!E:E, MATCH($A28, Cooper_pop_2030_2050!B:B, 0)))-(INDEX(Cooper_pop_2030_2050!D:D, MATCH($A28, Cooper_pop_2030_2050!B:B, 0))))</f>
        <v>2074619.7277397369</v>
      </c>
      <c r="J28">
        <f>(INDEX(Cooper_pop_2030_2050!D:D, MATCH($A28, Cooper_pop_2030_2050!B:B, 0)))+0.2*((INDEX(Cooper_pop_2030_2050!E:E, MATCH($A28, Cooper_pop_2030_2050!B:B, 0)))-(INDEX(Cooper_pop_2030_2050!D:D, MATCH($A28, Cooper_pop_2030_2050!B:B, 0))))</f>
        <v>2081361.6650855925</v>
      </c>
      <c r="K28">
        <f>(INDEX(Cooper_pop_2030_2050!D:D, MATCH($A28, Cooper_pop_2030_2050!B:B, 0)))+0.3*((INDEX(Cooper_pop_2030_2050!E:E, MATCH($A28, Cooper_pop_2030_2050!B:B, 0)))-(INDEX(Cooper_pop_2030_2050!D:D, MATCH($A28, Cooper_pop_2030_2050!B:B, 0))))</f>
        <v>2088103.6024314484</v>
      </c>
      <c r="L28">
        <f>(INDEX(Cooper_pop_2030_2050!D:D, MATCH($A28, Cooper_pop_2030_2050!B:B, 0)))+0.4*((INDEX(Cooper_pop_2030_2050!E:E, MATCH($A28, Cooper_pop_2030_2050!B:B, 0)))-(INDEX(Cooper_pop_2030_2050!D:D, MATCH($A28, Cooper_pop_2030_2050!B:B, 0))))</f>
        <v>2094845.539777304</v>
      </c>
      <c r="M28">
        <f>(INDEX(Cooper_pop_2030_2050!D:D, MATCH($A28, Cooper_pop_2030_2050!B:B, 0)))+0.5*((INDEX(Cooper_pop_2030_2050!E:E, MATCH($A28, Cooper_pop_2030_2050!B:B, 0)))-(INDEX(Cooper_pop_2030_2050!D:D, MATCH($A28, Cooper_pop_2030_2050!B:B, 0))))</f>
        <v>2101587.4771231599</v>
      </c>
      <c r="N28">
        <f>(INDEX(Cooper_pop_2030_2050!D:D, MATCH($A28, Cooper_pop_2030_2050!B:B, 0)))+0.6*((INDEX(Cooper_pop_2030_2050!E:E, MATCH($A28, Cooper_pop_2030_2050!B:B, 0)))-(INDEX(Cooper_pop_2030_2050!D:D, MATCH($A28, Cooper_pop_2030_2050!B:B, 0))))</f>
        <v>2108329.4144690158</v>
      </c>
      <c r="O28">
        <f>(INDEX(Cooper_pop_2030_2050!D:D, MATCH($A28, Cooper_pop_2030_2050!B:B, 0)))+0.7*((INDEX(Cooper_pop_2030_2050!E:E, MATCH($A28, Cooper_pop_2030_2050!B:B, 0)))-(INDEX(Cooper_pop_2030_2050!D:D, MATCH($A28, Cooper_pop_2030_2050!B:B, 0))))</f>
        <v>2115071.3518148717</v>
      </c>
      <c r="P28">
        <f>(INDEX(Cooper_pop_2030_2050!D:D, MATCH($A28, Cooper_pop_2030_2050!B:B, 0)))+0.8*((INDEX(Cooper_pop_2030_2050!E:E, MATCH($A28, Cooper_pop_2030_2050!B:B, 0)))-(INDEX(Cooper_pop_2030_2050!D:D, MATCH($A28, Cooper_pop_2030_2050!B:B, 0))))</f>
        <v>2121813.2891607271</v>
      </c>
      <c r="Q28">
        <f>(INDEX(Cooper_pop_2030_2050!D:D, MATCH($A28, Cooper_pop_2030_2050!B:B, 0)))+0.9*((INDEX(Cooper_pop_2030_2050!E:E, MATCH($A28, Cooper_pop_2030_2050!B:B, 0)))-(INDEX(Cooper_pop_2030_2050!D:D, MATCH($A28, Cooper_pop_2030_2050!B:B, 0))))</f>
        <v>2128555.2265065829</v>
      </c>
      <c r="R28">
        <f>INDEX(Cooper_pop_2030_2050!E:E, MATCH($A28, Cooper_pop_2030_2050!B:B, 0))</f>
        <v>2135297.1638524388</v>
      </c>
      <c r="S28">
        <f>(INDEX(Cooper_pop_2030_2050!E:E, MATCH($A28, Cooper_pop_2030_2050!B:B, 0)))+0.1*((INDEX(Cooper_pop_2030_2050!F:F, MATCH($A28, Cooper_pop_2030_2050!B:B, 0)))-(INDEX(Cooper_pop_2030_2050!E:E, MATCH($A28, Cooper_pop_2030_2050!B:B, 0))))</f>
        <v>2139675.2134563085</v>
      </c>
      <c r="T28">
        <f>(INDEX(Cooper_pop_2030_2050!E:E, MATCH($A28, Cooper_pop_2030_2050!B:B, 0)))+0.2*((INDEX(Cooper_pop_2030_2050!F:F, MATCH($A28, Cooper_pop_2030_2050!B:B, 0)))-(INDEX(Cooper_pop_2030_2050!E:E, MATCH($A28, Cooper_pop_2030_2050!B:B, 0))))</f>
        <v>2144053.2630601786</v>
      </c>
      <c r="U28">
        <f>(INDEX(Cooper_pop_2030_2050!E:E, MATCH($A28, Cooper_pop_2030_2050!B:B, 0)))+0.3*((INDEX(Cooper_pop_2030_2050!F:F, MATCH($A28, Cooper_pop_2030_2050!B:B, 0)))-(INDEX(Cooper_pop_2030_2050!E:E, MATCH($A28, Cooper_pop_2030_2050!B:B, 0))))</f>
        <v>2148431.3126640483</v>
      </c>
      <c r="V28">
        <f>(INDEX(Cooper_pop_2030_2050!E:E, MATCH($A28, Cooper_pop_2030_2050!B:B, 0)))+0.4*((INDEX(Cooper_pop_2030_2050!F:F, MATCH($A28, Cooper_pop_2030_2050!B:B, 0)))-(INDEX(Cooper_pop_2030_2050!E:E, MATCH($A28, Cooper_pop_2030_2050!B:B, 0))))</f>
        <v>2152809.362267918</v>
      </c>
      <c r="W28">
        <f>(INDEX(Cooper_pop_2030_2050!E:E, MATCH($A28, Cooper_pop_2030_2050!B:B, 0)))+0.5*((INDEX(Cooper_pop_2030_2050!F:F, MATCH($A28, Cooper_pop_2030_2050!B:B, 0)))-(INDEX(Cooper_pop_2030_2050!E:E, MATCH($A28, Cooper_pop_2030_2050!B:B, 0))))</f>
        <v>2157187.4118717881</v>
      </c>
      <c r="X28">
        <f>(INDEX(Cooper_pop_2030_2050!E:E, MATCH($A28, Cooper_pop_2030_2050!B:B, 0)))+0.6*((INDEX(Cooper_pop_2030_2050!F:F, MATCH($A28, Cooper_pop_2030_2050!B:B, 0)))-(INDEX(Cooper_pop_2030_2050!E:E, MATCH($A28, Cooper_pop_2030_2050!B:B, 0))))</f>
        <v>2161565.4614756578</v>
      </c>
      <c r="Y28">
        <f>(INDEX(Cooper_pop_2030_2050!E:E, MATCH($A28, Cooper_pop_2030_2050!B:B, 0)))+0.7*((INDEX(Cooper_pop_2030_2050!F:F, MATCH($A28, Cooper_pop_2030_2050!B:B, 0)))-(INDEX(Cooper_pop_2030_2050!E:E, MATCH($A28, Cooper_pop_2030_2050!B:B, 0))))</f>
        <v>2165943.5110795274</v>
      </c>
      <c r="Z28">
        <f>(INDEX(Cooper_pop_2030_2050!E:E, MATCH($A28, Cooper_pop_2030_2050!B:B, 0)))+0.8*((INDEX(Cooper_pop_2030_2050!F:F, MATCH($A28, Cooper_pop_2030_2050!B:B, 0)))-(INDEX(Cooper_pop_2030_2050!E:E, MATCH($A28, Cooper_pop_2030_2050!B:B, 0))))</f>
        <v>2170321.5606833971</v>
      </c>
      <c r="AA28">
        <f>(INDEX(Cooper_pop_2030_2050!E:E, MATCH($A28, Cooper_pop_2030_2050!B:B, 0)))+0.9*((INDEX(Cooper_pop_2030_2050!F:F, MATCH($A28, Cooper_pop_2030_2050!B:B, 0)))-(INDEX(Cooper_pop_2030_2050!E:E, MATCH($A28, Cooper_pop_2030_2050!B:B, 0))))</f>
        <v>2174699.6102872672</v>
      </c>
      <c r="AB28">
        <f>INDEX(Cooper_pop_2030_2050!F:F, MATCH($A28, Cooper_pop_2030_2050!B:B, 0))</f>
        <v>2179077.6598911369</v>
      </c>
    </row>
    <row r="29" spans="1:28">
      <c r="A29" t="s">
        <v>2913</v>
      </c>
      <c r="B29">
        <f>IFERROR(INDEX(Census_pop_2020_2025!G:G, MATCH("."&amp;$A29, Census_pop_2020_2025!A:A, 0)),INDEX(Census_pop_2020_2025!G:G, MATCH($A29, Census_pop_2020_2025!A:A, 0)))</f>
        <v>3253543</v>
      </c>
      <c r="C29">
        <f>IFERROR(INDEX(Census_pop_2020_2025!H:H, MATCH("."&amp;$A29, Census_pop_2020_2025!A:A, 0)),INDEX(Census_pop_2020_2025!H:H, MATCH($A29, Census_pop_2020_2025!A:A, 0)))</f>
        <v>3282188</v>
      </c>
      <c r="D29">
        <f>(IFERROR(INDEX(Census_pop_2020_2025!H:H, MATCH("."&amp;$A29, Census_pop_2020_2025!A:A, 0)),INDEX(Census_pop_2020_2025!H:H, MATCH($A29, Census_pop_2020_2025!A:A, 0))))+0.2*((INDEX(Cooper_pop_2030_2050!D:D, MATCH($A29, Cooper_pop_2030_2050!B:B, 0)))-(IFERROR(INDEX(Census_pop_2020_2025!H:H, MATCH("."&amp;$A29, Census_pop_2020_2025!A:A, 0)),INDEX(Census_pop_2020_2025!H:H, MATCH($A29, Census_pop_2020_2025!A:A, 0)))))</f>
        <v>3313328.3387490367</v>
      </c>
      <c r="E29">
        <f>(IFERROR(INDEX(Census_pop_2020_2025!H:H, MATCH("."&amp;$A29, Census_pop_2020_2025!A:A, 0)),INDEX(Census_pop_2020_2025!H:H, MATCH($A29, Census_pop_2020_2025!A:A, 0))))+0.4*((INDEX(Cooper_pop_2030_2050!D:D, MATCH($A29, Cooper_pop_2030_2050!B:B, 0)))-(IFERROR(INDEX(Census_pop_2020_2025!H:H, MATCH("."&amp;$A29, Census_pop_2020_2025!A:A, 0)),INDEX(Census_pop_2020_2025!H:H, MATCH($A29, Census_pop_2020_2025!A:A, 0)))))</f>
        <v>3344468.6774980738</v>
      </c>
      <c r="F29">
        <f>(IFERROR(INDEX(Census_pop_2020_2025!H:H, MATCH("."&amp;$A29, Census_pop_2020_2025!A:A, 0)),INDEX(Census_pop_2020_2025!H:H, MATCH($A29, Census_pop_2020_2025!A:A, 0))))+0.6*((INDEX(Cooper_pop_2030_2050!D:D, MATCH($A29, Cooper_pop_2030_2050!B:B, 0)))-(IFERROR(INDEX(Census_pop_2020_2025!H:H, MATCH("."&amp;$A29, Census_pop_2020_2025!A:A, 0)),INDEX(Census_pop_2020_2025!H:H, MATCH($A29, Census_pop_2020_2025!A:A, 0)))))</f>
        <v>3375609.0162471104</v>
      </c>
      <c r="G29">
        <f>(IFERROR(INDEX(Census_pop_2020_2025!H:H, MATCH("."&amp;$A29, Census_pop_2020_2025!A:A, 0)),INDEX(Census_pop_2020_2025!H:H, MATCH($A29, Census_pop_2020_2025!A:A, 0))))+0.8*((INDEX(Cooper_pop_2030_2050!D:D, MATCH($A29, Cooper_pop_2030_2050!B:B, 0)))-(IFERROR(INDEX(Census_pop_2020_2025!H:H, MATCH("."&amp;$A29, Census_pop_2020_2025!A:A, 0)),INDEX(Census_pop_2020_2025!H:H, MATCH($A29, Census_pop_2020_2025!A:A, 0)))))</f>
        <v>3406749.3549961476</v>
      </c>
      <c r="H29">
        <f>INDEX(Cooper_pop_2030_2050!D:D, MATCH($A29, Cooper_pop_2030_2050!B:B, 0))</f>
        <v>3437889.6937451842</v>
      </c>
      <c r="I29">
        <f>(INDEX(Cooper_pop_2030_2050!D:D, MATCH($A29, Cooper_pop_2030_2050!B:B, 0)))+0.1*((INDEX(Cooper_pop_2030_2050!E:E, MATCH($A29, Cooper_pop_2030_2050!B:B, 0)))-(INDEX(Cooper_pop_2030_2050!D:D, MATCH($A29, Cooper_pop_2030_2050!B:B, 0))))</f>
        <v>3474091.7075836835</v>
      </c>
      <c r="J29">
        <f>(INDEX(Cooper_pop_2030_2050!D:D, MATCH($A29, Cooper_pop_2030_2050!B:B, 0)))+0.2*((INDEX(Cooper_pop_2030_2050!E:E, MATCH($A29, Cooper_pop_2030_2050!B:B, 0)))-(INDEX(Cooper_pop_2030_2050!D:D, MATCH($A29, Cooper_pop_2030_2050!B:B, 0))))</f>
        <v>3510293.7214221829</v>
      </c>
      <c r="K29">
        <f>(INDEX(Cooper_pop_2030_2050!D:D, MATCH($A29, Cooper_pop_2030_2050!B:B, 0)))+0.3*((INDEX(Cooper_pop_2030_2050!E:E, MATCH($A29, Cooper_pop_2030_2050!B:B, 0)))-(INDEX(Cooper_pop_2030_2050!D:D, MATCH($A29, Cooper_pop_2030_2050!B:B, 0))))</f>
        <v>3546495.7352606822</v>
      </c>
      <c r="L29">
        <f>(INDEX(Cooper_pop_2030_2050!D:D, MATCH($A29, Cooper_pop_2030_2050!B:B, 0)))+0.4*((INDEX(Cooper_pop_2030_2050!E:E, MATCH($A29, Cooper_pop_2030_2050!B:B, 0)))-(INDEX(Cooper_pop_2030_2050!D:D, MATCH($A29, Cooper_pop_2030_2050!B:B, 0))))</f>
        <v>3582697.7490991815</v>
      </c>
      <c r="M29">
        <f>(INDEX(Cooper_pop_2030_2050!D:D, MATCH($A29, Cooper_pop_2030_2050!B:B, 0)))+0.5*((INDEX(Cooper_pop_2030_2050!E:E, MATCH($A29, Cooper_pop_2030_2050!B:B, 0)))-(INDEX(Cooper_pop_2030_2050!D:D, MATCH($A29, Cooper_pop_2030_2050!B:B, 0))))</f>
        <v>3618899.7629376808</v>
      </c>
      <c r="N29">
        <f>(INDEX(Cooper_pop_2030_2050!D:D, MATCH($A29, Cooper_pop_2030_2050!B:B, 0)))+0.6*((INDEX(Cooper_pop_2030_2050!E:E, MATCH($A29, Cooper_pop_2030_2050!B:B, 0)))-(INDEX(Cooper_pop_2030_2050!D:D, MATCH($A29, Cooper_pop_2030_2050!B:B, 0))))</f>
        <v>3655101.7767761806</v>
      </c>
      <c r="O29">
        <f>(INDEX(Cooper_pop_2030_2050!D:D, MATCH($A29, Cooper_pop_2030_2050!B:B, 0)))+0.7*((INDEX(Cooper_pop_2030_2050!E:E, MATCH($A29, Cooper_pop_2030_2050!B:B, 0)))-(INDEX(Cooper_pop_2030_2050!D:D, MATCH($A29, Cooper_pop_2030_2050!B:B, 0))))</f>
        <v>3691303.7906146799</v>
      </c>
      <c r="P29">
        <f>(INDEX(Cooper_pop_2030_2050!D:D, MATCH($A29, Cooper_pop_2030_2050!B:B, 0)))+0.8*((INDEX(Cooper_pop_2030_2050!E:E, MATCH($A29, Cooper_pop_2030_2050!B:B, 0)))-(INDEX(Cooper_pop_2030_2050!D:D, MATCH($A29, Cooper_pop_2030_2050!B:B, 0))))</f>
        <v>3727505.8044531792</v>
      </c>
      <c r="Q29">
        <f>(INDEX(Cooper_pop_2030_2050!D:D, MATCH($A29, Cooper_pop_2030_2050!B:B, 0)))+0.9*((INDEX(Cooper_pop_2030_2050!E:E, MATCH($A29, Cooper_pop_2030_2050!B:B, 0)))-(INDEX(Cooper_pop_2030_2050!D:D, MATCH($A29, Cooper_pop_2030_2050!B:B, 0))))</f>
        <v>3763707.8182916786</v>
      </c>
      <c r="R29">
        <f>INDEX(Cooper_pop_2030_2050!E:E, MATCH($A29, Cooper_pop_2030_2050!B:B, 0))</f>
        <v>3799909.8321301779</v>
      </c>
      <c r="S29">
        <f>(INDEX(Cooper_pop_2030_2050!E:E, MATCH($A29, Cooper_pop_2030_2050!B:B, 0)))+0.1*((INDEX(Cooper_pop_2030_2050!F:F, MATCH($A29, Cooper_pop_2030_2050!B:B, 0)))-(INDEX(Cooper_pop_2030_2050!E:E, MATCH($A29, Cooper_pop_2030_2050!B:B, 0))))</f>
        <v>3835002.4495697431</v>
      </c>
      <c r="T29">
        <f>(INDEX(Cooper_pop_2030_2050!E:E, MATCH($A29, Cooper_pop_2030_2050!B:B, 0)))+0.2*((INDEX(Cooper_pop_2030_2050!F:F, MATCH($A29, Cooper_pop_2030_2050!B:B, 0)))-(INDEX(Cooper_pop_2030_2050!E:E, MATCH($A29, Cooper_pop_2030_2050!B:B, 0))))</f>
        <v>3870095.0670093079</v>
      </c>
      <c r="U29">
        <f>(INDEX(Cooper_pop_2030_2050!E:E, MATCH($A29, Cooper_pop_2030_2050!B:B, 0)))+0.3*((INDEX(Cooper_pop_2030_2050!F:F, MATCH($A29, Cooper_pop_2030_2050!B:B, 0)))-(INDEX(Cooper_pop_2030_2050!E:E, MATCH($A29, Cooper_pop_2030_2050!B:B, 0))))</f>
        <v>3905187.6844488727</v>
      </c>
      <c r="V29">
        <f>(INDEX(Cooper_pop_2030_2050!E:E, MATCH($A29, Cooper_pop_2030_2050!B:B, 0)))+0.4*((INDEX(Cooper_pop_2030_2050!F:F, MATCH($A29, Cooper_pop_2030_2050!B:B, 0)))-(INDEX(Cooper_pop_2030_2050!E:E, MATCH($A29, Cooper_pop_2030_2050!B:B, 0))))</f>
        <v>3940280.3018884379</v>
      </c>
      <c r="W29">
        <f>(INDEX(Cooper_pop_2030_2050!E:E, MATCH($A29, Cooper_pop_2030_2050!B:B, 0)))+0.5*((INDEX(Cooper_pop_2030_2050!F:F, MATCH($A29, Cooper_pop_2030_2050!B:B, 0)))-(INDEX(Cooper_pop_2030_2050!E:E, MATCH($A29, Cooper_pop_2030_2050!B:B, 0))))</f>
        <v>3975372.9193280032</v>
      </c>
      <c r="X29">
        <f>(INDEX(Cooper_pop_2030_2050!E:E, MATCH($A29, Cooper_pop_2030_2050!B:B, 0)))+0.6*((INDEX(Cooper_pop_2030_2050!F:F, MATCH($A29, Cooper_pop_2030_2050!B:B, 0)))-(INDEX(Cooper_pop_2030_2050!E:E, MATCH($A29, Cooper_pop_2030_2050!B:B, 0))))</f>
        <v>4010465.536767568</v>
      </c>
      <c r="Y29">
        <f>(INDEX(Cooper_pop_2030_2050!E:E, MATCH($A29, Cooper_pop_2030_2050!B:B, 0)))+0.7*((INDEX(Cooper_pop_2030_2050!F:F, MATCH($A29, Cooper_pop_2030_2050!B:B, 0)))-(INDEX(Cooper_pop_2030_2050!E:E, MATCH($A29, Cooper_pop_2030_2050!B:B, 0))))</f>
        <v>4045558.1542071328</v>
      </c>
      <c r="Z29">
        <f>(INDEX(Cooper_pop_2030_2050!E:E, MATCH($A29, Cooper_pop_2030_2050!B:B, 0)))+0.8*((INDEX(Cooper_pop_2030_2050!F:F, MATCH($A29, Cooper_pop_2030_2050!B:B, 0)))-(INDEX(Cooper_pop_2030_2050!E:E, MATCH($A29, Cooper_pop_2030_2050!B:B, 0))))</f>
        <v>4080650.771646698</v>
      </c>
      <c r="AA29">
        <f>(INDEX(Cooper_pop_2030_2050!E:E, MATCH($A29, Cooper_pop_2030_2050!B:B, 0)))+0.9*((INDEX(Cooper_pop_2030_2050!F:F, MATCH($A29, Cooper_pop_2030_2050!B:B, 0)))-(INDEX(Cooper_pop_2030_2050!E:E, MATCH($A29, Cooper_pop_2030_2050!B:B, 0))))</f>
        <v>4115743.3890862633</v>
      </c>
      <c r="AB29">
        <f>INDEX(Cooper_pop_2030_2050!F:F, MATCH($A29, Cooper_pop_2030_2050!B:B, 0))</f>
        <v>4150836.006525828</v>
      </c>
    </row>
    <row r="30" spans="1:28">
      <c r="A30" t="s">
        <v>2914</v>
      </c>
      <c r="B30">
        <f>IFERROR(INDEX(Census_pop_2020_2025!G:G, MATCH("."&amp;$A30, Census_pop_2020_2025!A:A, 0)),INDEX(Census_pop_2020_2025!G:G, MATCH($A30, Census_pop_2020_2025!A:A, 0)))</f>
        <v>1408518</v>
      </c>
      <c r="C30">
        <f>IFERROR(INDEX(Census_pop_2020_2025!H:H, MATCH("."&amp;$A30, Census_pop_2020_2025!A:A, 0)),INDEX(Census_pop_2020_2025!H:H, MATCH($A30, Census_pop_2020_2025!A:A, 0)))</f>
        <v>1415342</v>
      </c>
      <c r="D30">
        <f>(IFERROR(INDEX(Census_pop_2020_2025!H:H, MATCH("."&amp;$A30, Census_pop_2020_2025!A:A, 0)),INDEX(Census_pop_2020_2025!H:H, MATCH($A30, Census_pop_2020_2025!A:A, 0))))+0.2*((INDEX(Cooper_pop_2030_2050!D:D, MATCH($A30, Cooper_pop_2030_2050!B:B, 0)))-(IFERROR(INDEX(Census_pop_2020_2025!H:H, MATCH("."&amp;$A30, Census_pop_2020_2025!A:A, 0)),INDEX(Census_pop_2020_2025!H:H, MATCH($A30, Census_pop_2020_2025!A:A, 0)))))</f>
        <v>1417221.4468431489</v>
      </c>
      <c r="E30">
        <f>(IFERROR(INDEX(Census_pop_2020_2025!H:H, MATCH("."&amp;$A30, Census_pop_2020_2025!A:A, 0)),INDEX(Census_pop_2020_2025!H:H, MATCH($A30, Census_pop_2020_2025!A:A, 0))))+0.4*((INDEX(Cooper_pop_2030_2050!D:D, MATCH($A30, Cooper_pop_2030_2050!B:B, 0)))-(IFERROR(INDEX(Census_pop_2020_2025!H:H, MATCH("."&amp;$A30, Census_pop_2020_2025!A:A, 0)),INDEX(Census_pop_2020_2025!H:H, MATCH($A30, Census_pop_2020_2025!A:A, 0)))))</f>
        <v>1419100.8936862976</v>
      </c>
      <c r="F30">
        <f>(IFERROR(INDEX(Census_pop_2020_2025!H:H, MATCH("."&amp;$A30, Census_pop_2020_2025!A:A, 0)),INDEX(Census_pop_2020_2025!H:H, MATCH($A30, Census_pop_2020_2025!A:A, 0))))+0.6*((INDEX(Cooper_pop_2030_2050!D:D, MATCH($A30, Cooper_pop_2030_2050!B:B, 0)))-(IFERROR(INDEX(Census_pop_2020_2025!H:H, MATCH("."&amp;$A30, Census_pop_2020_2025!A:A, 0)),INDEX(Census_pop_2020_2025!H:H, MATCH($A30, Census_pop_2020_2025!A:A, 0)))))</f>
        <v>1420980.3405294465</v>
      </c>
      <c r="G30">
        <f>(IFERROR(INDEX(Census_pop_2020_2025!H:H, MATCH("."&amp;$A30, Census_pop_2020_2025!A:A, 0)),INDEX(Census_pop_2020_2025!H:H, MATCH($A30, Census_pop_2020_2025!A:A, 0))))+0.8*((INDEX(Cooper_pop_2030_2050!D:D, MATCH($A30, Cooper_pop_2030_2050!B:B, 0)))-(IFERROR(INDEX(Census_pop_2020_2025!H:H, MATCH("."&amp;$A30, Census_pop_2020_2025!A:A, 0)),INDEX(Census_pop_2020_2025!H:H, MATCH($A30, Census_pop_2020_2025!A:A, 0)))))</f>
        <v>1422859.7873725952</v>
      </c>
      <c r="H30">
        <f>INDEX(Cooper_pop_2030_2050!D:D, MATCH($A30, Cooper_pop_2030_2050!B:B, 0))</f>
        <v>1424739.2342157441</v>
      </c>
      <c r="I30">
        <f>(INDEX(Cooper_pop_2030_2050!D:D, MATCH($A30, Cooper_pop_2030_2050!B:B, 0)))+0.1*((INDEX(Cooper_pop_2030_2050!E:E, MATCH($A30, Cooper_pop_2030_2050!B:B, 0)))-(INDEX(Cooper_pop_2030_2050!D:D, MATCH($A30, Cooper_pop_2030_2050!B:B, 0))))</f>
        <v>1425599.9946400253</v>
      </c>
      <c r="J30">
        <f>(INDEX(Cooper_pop_2030_2050!D:D, MATCH($A30, Cooper_pop_2030_2050!B:B, 0)))+0.2*((INDEX(Cooper_pop_2030_2050!E:E, MATCH($A30, Cooper_pop_2030_2050!B:B, 0)))-(INDEX(Cooper_pop_2030_2050!D:D, MATCH($A30, Cooper_pop_2030_2050!B:B, 0))))</f>
        <v>1426460.7550643065</v>
      </c>
      <c r="K30">
        <f>(INDEX(Cooper_pop_2030_2050!D:D, MATCH($A30, Cooper_pop_2030_2050!B:B, 0)))+0.3*((INDEX(Cooper_pop_2030_2050!E:E, MATCH($A30, Cooper_pop_2030_2050!B:B, 0)))-(INDEX(Cooper_pop_2030_2050!D:D, MATCH($A30, Cooper_pop_2030_2050!B:B, 0))))</f>
        <v>1427321.515488588</v>
      </c>
      <c r="L30">
        <f>(INDEX(Cooper_pop_2030_2050!D:D, MATCH($A30, Cooper_pop_2030_2050!B:B, 0)))+0.4*((INDEX(Cooper_pop_2030_2050!E:E, MATCH($A30, Cooper_pop_2030_2050!B:B, 0)))-(INDEX(Cooper_pop_2030_2050!D:D, MATCH($A30, Cooper_pop_2030_2050!B:B, 0))))</f>
        <v>1428182.2759128693</v>
      </c>
      <c r="M30">
        <f>(INDEX(Cooper_pop_2030_2050!D:D, MATCH($A30, Cooper_pop_2030_2050!B:B, 0)))+0.5*((INDEX(Cooper_pop_2030_2050!E:E, MATCH($A30, Cooper_pop_2030_2050!B:B, 0)))-(INDEX(Cooper_pop_2030_2050!D:D, MATCH($A30, Cooper_pop_2030_2050!B:B, 0))))</f>
        <v>1429043.0363371505</v>
      </c>
      <c r="N30">
        <f>(INDEX(Cooper_pop_2030_2050!D:D, MATCH($A30, Cooper_pop_2030_2050!B:B, 0)))+0.6*((INDEX(Cooper_pop_2030_2050!E:E, MATCH($A30, Cooper_pop_2030_2050!B:B, 0)))-(INDEX(Cooper_pop_2030_2050!D:D, MATCH($A30, Cooper_pop_2030_2050!B:B, 0))))</f>
        <v>1429903.7967614317</v>
      </c>
      <c r="O30">
        <f>(INDEX(Cooper_pop_2030_2050!D:D, MATCH($A30, Cooper_pop_2030_2050!B:B, 0)))+0.7*((INDEX(Cooper_pop_2030_2050!E:E, MATCH($A30, Cooper_pop_2030_2050!B:B, 0)))-(INDEX(Cooper_pop_2030_2050!D:D, MATCH($A30, Cooper_pop_2030_2050!B:B, 0))))</f>
        <v>1430764.557185713</v>
      </c>
      <c r="P30">
        <f>(INDEX(Cooper_pop_2030_2050!D:D, MATCH($A30, Cooper_pop_2030_2050!B:B, 0)))+0.8*((INDEX(Cooper_pop_2030_2050!E:E, MATCH($A30, Cooper_pop_2030_2050!B:B, 0)))-(INDEX(Cooper_pop_2030_2050!D:D, MATCH($A30, Cooper_pop_2030_2050!B:B, 0))))</f>
        <v>1431625.3176099944</v>
      </c>
      <c r="Q30">
        <f>(INDEX(Cooper_pop_2030_2050!D:D, MATCH($A30, Cooper_pop_2030_2050!B:B, 0)))+0.9*((INDEX(Cooper_pop_2030_2050!E:E, MATCH($A30, Cooper_pop_2030_2050!B:B, 0)))-(INDEX(Cooper_pop_2030_2050!D:D, MATCH($A30, Cooper_pop_2030_2050!B:B, 0))))</f>
        <v>1432486.0780342757</v>
      </c>
      <c r="R30">
        <f>INDEX(Cooper_pop_2030_2050!E:E, MATCH($A30, Cooper_pop_2030_2050!B:B, 0))</f>
        <v>1433346.8384585569</v>
      </c>
      <c r="S30">
        <f>(INDEX(Cooper_pop_2030_2050!E:E, MATCH($A30, Cooper_pop_2030_2050!B:B, 0)))+0.1*((INDEX(Cooper_pop_2030_2050!F:F, MATCH($A30, Cooper_pop_2030_2050!B:B, 0)))-(INDEX(Cooper_pop_2030_2050!E:E, MATCH($A30, Cooper_pop_2030_2050!B:B, 0))))</f>
        <v>1432523.0708691825</v>
      </c>
      <c r="T30">
        <f>(INDEX(Cooper_pop_2030_2050!E:E, MATCH($A30, Cooper_pop_2030_2050!B:B, 0)))+0.2*((INDEX(Cooper_pop_2030_2050!F:F, MATCH($A30, Cooper_pop_2030_2050!B:B, 0)))-(INDEX(Cooper_pop_2030_2050!E:E, MATCH($A30, Cooper_pop_2030_2050!B:B, 0))))</f>
        <v>1431699.303279808</v>
      </c>
      <c r="U30">
        <f>(INDEX(Cooper_pop_2030_2050!E:E, MATCH($A30, Cooper_pop_2030_2050!B:B, 0)))+0.3*((INDEX(Cooper_pop_2030_2050!F:F, MATCH($A30, Cooper_pop_2030_2050!B:B, 0)))-(INDEX(Cooper_pop_2030_2050!E:E, MATCH($A30, Cooper_pop_2030_2050!B:B, 0))))</f>
        <v>1430875.5356904333</v>
      </c>
      <c r="V30">
        <f>(INDEX(Cooper_pop_2030_2050!E:E, MATCH($A30, Cooper_pop_2030_2050!B:B, 0)))+0.4*((INDEX(Cooper_pop_2030_2050!F:F, MATCH($A30, Cooper_pop_2030_2050!B:B, 0)))-(INDEX(Cooper_pop_2030_2050!E:E, MATCH($A30, Cooper_pop_2030_2050!B:B, 0))))</f>
        <v>1430051.7681010589</v>
      </c>
      <c r="W30">
        <f>(INDEX(Cooper_pop_2030_2050!E:E, MATCH($A30, Cooper_pop_2030_2050!B:B, 0)))+0.5*((INDEX(Cooper_pop_2030_2050!F:F, MATCH($A30, Cooper_pop_2030_2050!B:B, 0)))-(INDEX(Cooper_pop_2030_2050!E:E, MATCH($A30, Cooper_pop_2030_2050!B:B, 0))))</f>
        <v>1429228.0005116845</v>
      </c>
      <c r="X30">
        <f>(INDEX(Cooper_pop_2030_2050!E:E, MATCH($A30, Cooper_pop_2030_2050!B:B, 0)))+0.6*((INDEX(Cooper_pop_2030_2050!F:F, MATCH($A30, Cooper_pop_2030_2050!B:B, 0)))-(INDEX(Cooper_pop_2030_2050!E:E, MATCH($A30, Cooper_pop_2030_2050!B:B, 0))))</f>
        <v>1428404.23292231</v>
      </c>
      <c r="Y30">
        <f>(INDEX(Cooper_pop_2030_2050!E:E, MATCH($A30, Cooper_pop_2030_2050!B:B, 0)))+0.7*((INDEX(Cooper_pop_2030_2050!F:F, MATCH($A30, Cooper_pop_2030_2050!B:B, 0)))-(INDEX(Cooper_pop_2030_2050!E:E, MATCH($A30, Cooper_pop_2030_2050!B:B, 0))))</f>
        <v>1427580.4653329356</v>
      </c>
      <c r="Z30">
        <f>(INDEX(Cooper_pop_2030_2050!E:E, MATCH($A30, Cooper_pop_2030_2050!B:B, 0)))+0.8*((INDEX(Cooper_pop_2030_2050!F:F, MATCH($A30, Cooper_pop_2030_2050!B:B, 0)))-(INDEX(Cooper_pop_2030_2050!E:E, MATCH($A30, Cooper_pop_2030_2050!B:B, 0))))</f>
        <v>1426756.6977435609</v>
      </c>
      <c r="AA30">
        <f>(INDEX(Cooper_pop_2030_2050!E:E, MATCH($A30, Cooper_pop_2030_2050!B:B, 0)))+0.9*((INDEX(Cooper_pop_2030_2050!F:F, MATCH($A30, Cooper_pop_2030_2050!B:B, 0)))-(INDEX(Cooper_pop_2030_2050!E:E, MATCH($A30, Cooper_pop_2030_2050!B:B, 0))))</f>
        <v>1425932.9301541864</v>
      </c>
      <c r="AB30">
        <f>INDEX(Cooper_pop_2030_2050!F:F, MATCH($A30, Cooper_pop_2030_2050!B:B, 0))</f>
        <v>1425109.162564812</v>
      </c>
    </row>
    <row r="31" spans="1:28">
      <c r="A31" t="s">
        <v>2915</v>
      </c>
      <c r="B31">
        <f>IFERROR(INDEX(Census_pop_2020_2025!G:G, MATCH("."&amp;$A31, Census_pop_2020_2025!A:A, 0)),INDEX(Census_pop_2020_2025!G:G, MATCH($A31, Census_pop_2020_2025!A:A, 0)))</f>
        <v>9506354</v>
      </c>
      <c r="C31">
        <f>IFERROR(INDEX(Census_pop_2020_2025!H:H, MATCH("."&amp;$A31, Census_pop_2020_2025!A:A, 0)),INDEX(Census_pop_2020_2025!H:H, MATCH($A31, Census_pop_2020_2025!A:A, 0)))</f>
        <v>9548215</v>
      </c>
      <c r="D31">
        <f>(IFERROR(INDEX(Census_pop_2020_2025!H:H, MATCH("."&amp;$A31, Census_pop_2020_2025!A:A, 0)),INDEX(Census_pop_2020_2025!H:H, MATCH($A31, Census_pop_2020_2025!A:A, 0))))+0.2*((INDEX(Cooper_pop_2030_2050!D:D, MATCH($A31, Cooper_pop_2030_2050!B:B, 0)))-(IFERROR(INDEX(Census_pop_2020_2025!H:H, MATCH("."&amp;$A31, Census_pop_2020_2025!A:A, 0)),INDEX(Census_pop_2020_2025!H:H, MATCH($A31, Census_pop_2020_2025!A:A, 0)))))</f>
        <v>9573746.439095512</v>
      </c>
      <c r="E31">
        <f>(IFERROR(INDEX(Census_pop_2020_2025!H:H, MATCH("."&amp;$A31, Census_pop_2020_2025!A:A, 0)),INDEX(Census_pop_2020_2025!H:H, MATCH($A31, Census_pop_2020_2025!A:A, 0))))+0.4*((INDEX(Cooper_pop_2030_2050!D:D, MATCH($A31, Cooper_pop_2030_2050!B:B, 0)))-(IFERROR(INDEX(Census_pop_2020_2025!H:H, MATCH("."&amp;$A31, Census_pop_2020_2025!A:A, 0)),INDEX(Census_pop_2020_2025!H:H, MATCH($A31, Census_pop_2020_2025!A:A, 0)))))</f>
        <v>9599277.8781910241</v>
      </c>
      <c r="F31">
        <f>(IFERROR(INDEX(Census_pop_2020_2025!H:H, MATCH("."&amp;$A31, Census_pop_2020_2025!A:A, 0)),INDEX(Census_pop_2020_2025!H:H, MATCH($A31, Census_pop_2020_2025!A:A, 0))))+0.6*((INDEX(Cooper_pop_2030_2050!D:D, MATCH($A31, Cooper_pop_2030_2050!B:B, 0)))-(IFERROR(INDEX(Census_pop_2020_2025!H:H, MATCH("."&amp;$A31, Census_pop_2020_2025!A:A, 0)),INDEX(Census_pop_2020_2025!H:H, MATCH($A31, Census_pop_2020_2025!A:A, 0)))))</f>
        <v>9624809.3172865361</v>
      </c>
      <c r="G31">
        <f>(IFERROR(INDEX(Census_pop_2020_2025!H:H, MATCH("."&amp;$A31, Census_pop_2020_2025!A:A, 0)),INDEX(Census_pop_2020_2025!H:H, MATCH($A31, Census_pop_2020_2025!A:A, 0))))+0.8*((INDEX(Cooper_pop_2030_2050!D:D, MATCH($A31, Cooper_pop_2030_2050!B:B, 0)))-(IFERROR(INDEX(Census_pop_2020_2025!H:H, MATCH("."&amp;$A31, Census_pop_2020_2025!A:A, 0)),INDEX(Census_pop_2020_2025!H:H, MATCH($A31, Census_pop_2020_2025!A:A, 0)))))</f>
        <v>9650340.7563820481</v>
      </c>
      <c r="H31">
        <f>INDEX(Cooper_pop_2030_2050!D:D, MATCH($A31, Cooper_pop_2030_2050!B:B, 0))</f>
        <v>9675872.1954775602</v>
      </c>
      <c r="I31">
        <f>(INDEX(Cooper_pop_2030_2050!D:D, MATCH($A31, Cooper_pop_2030_2050!B:B, 0)))+0.1*((INDEX(Cooper_pop_2030_2050!E:E, MATCH($A31, Cooper_pop_2030_2050!B:B, 0)))-(INDEX(Cooper_pop_2030_2050!D:D, MATCH($A31, Cooper_pop_2030_2050!B:B, 0))))</f>
        <v>9691169.4784786385</v>
      </c>
      <c r="J31">
        <f>(INDEX(Cooper_pop_2030_2050!D:D, MATCH($A31, Cooper_pop_2030_2050!B:B, 0)))+0.2*((INDEX(Cooper_pop_2030_2050!E:E, MATCH($A31, Cooper_pop_2030_2050!B:B, 0)))-(INDEX(Cooper_pop_2030_2050!D:D, MATCH($A31, Cooper_pop_2030_2050!B:B, 0))))</f>
        <v>9706466.7614797149</v>
      </c>
      <c r="K31">
        <f>(INDEX(Cooper_pop_2030_2050!D:D, MATCH($A31, Cooper_pop_2030_2050!B:B, 0)))+0.3*((INDEX(Cooper_pop_2030_2050!E:E, MATCH($A31, Cooper_pop_2030_2050!B:B, 0)))-(INDEX(Cooper_pop_2030_2050!D:D, MATCH($A31, Cooper_pop_2030_2050!B:B, 0))))</f>
        <v>9721764.0444807932</v>
      </c>
      <c r="L31">
        <f>(INDEX(Cooper_pop_2030_2050!D:D, MATCH($A31, Cooper_pop_2030_2050!B:B, 0)))+0.4*((INDEX(Cooper_pop_2030_2050!E:E, MATCH($A31, Cooper_pop_2030_2050!B:B, 0)))-(INDEX(Cooper_pop_2030_2050!D:D, MATCH($A31, Cooper_pop_2030_2050!B:B, 0))))</f>
        <v>9737061.3274818715</v>
      </c>
      <c r="M31">
        <f>(INDEX(Cooper_pop_2030_2050!D:D, MATCH($A31, Cooper_pop_2030_2050!B:B, 0)))+0.5*((INDEX(Cooper_pop_2030_2050!E:E, MATCH($A31, Cooper_pop_2030_2050!B:B, 0)))-(INDEX(Cooper_pop_2030_2050!D:D, MATCH($A31, Cooper_pop_2030_2050!B:B, 0))))</f>
        <v>9752358.6104829498</v>
      </c>
      <c r="N31">
        <f>(INDEX(Cooper_pop_2030_2050!D:D, MATCH($A31, Cooper_pop_2030_2050!B:B, 0)))+0.6*((INDEX(Cooper_pop_2030_2050!E:E, MATCH($A31, Cooper_pop_2030_2050!B:B, 0)))-(INDEX(Cooper_pop_2030_2050!D:D, MATCH($A31, Cooper_pop_2030_2050!B:B, 0))))</f>
        <v>9767655.8934840262</v>
      </c>
      <c r="O31">
        <f>(INDEX(Cooper_pop_2030_2050!D:D, MATCH($A31, Cooper_pop_2030_2050!B:B, 0)))+0.7*((INDEX(Cooper_pop_2030_2050!E:E, MATCH($A31, Cooper_pop_2030_2050!B:B, 0)))-(INDEX(Cooper_pop_2030_2050!D:D, MATCH($A31, Cooper_pop_2030_2050!B:B, 0))))</f>
        <v>9782953.1764851045</v>
      </c>
      <c r="P31">
        <f>(INDEX(Cooper_pop_2030_2050!D:D, MATCH($A31, Cooper_pop_2030_2050!B:B, 0)))+0.8*((INDEX(Cooper_pop_2030_2050!E:E, MATCH($A31, Cooper_pop_2030_2050!B:B, 0)))-(INDEX(Cooper_pop_2030_2050!D:D, MATCH($A31, Cooper_pop_2030_2050!B:B, 0))))</f>
        <v>9798250.4594861828</v>
      </c>
      <c r="Q31">
        <f>(INDEX(Cooper_pop_2030_2050!D:D, MATCH($A31, Cooper_pop_2030_2050!B:B, 0)))+0.9*((INDEX(Cooper_pop_2030_2050!E:E, MATCH($A31, Cooper_pop_2030_2050!B:B, 0)))-(INDEX(Cooper_pop_2030_2050!D:D, MATCH($A31, Cooper_pop_2030_2050!B:B, 0))))</f>
        <v>9813547.7424872592</v>
      </c>
      <c r="R31">
        <f>INDEX(Cooper_pop_2030_2050!E:E, MATCH($A31, Cooper_pop_2030_2050!B:B, 0))</f>
        <v>9828845.0254883375</v>
      </c>
      <c r="S31">
        <f>(INDEX(Cooper_pop_2030_2050!E:E, MATCH($A31, Cooper_pop_2030_2050!B:B, 0)))+0.1*((INDEX(Cooper_pop_2030_2050!F:F, MATCH($A31, Cooper_pop_2030_2050!B:B, 0)))-(INDEX(Cooper_pop_2030_2050!E:E, MATCH($A31, Cooper_pop_2030_2050!B:B, 0))))</f>
        <v>9832684.7288188655</v>
      </c>
      <c r="T31">
        <f>(INDEX(Cooper_pop_2030_2050!E:E, MATCH($A31, Cooper_pop_2030_2050!B:B, 0)))+0.2*((INDEX(Cooper_pop_2030_2050!F:F, MATCH($A31, Cooper_pop_2030_2050!B:B, 0)))-(INDEX(Cooper_pop_2030_2050!E:E, MATCH($A31, Cooper_pop_2030_2050!B:B, 0))))</f>
        <v>9836524.4321493916</v>
      </c>
      <c r="U31">
        <f>(INDEX(Cooper_pop_2030_2050!E:E, MATCH($A31, Cooper_pop_2030_2050!B:B, 0)))+0.3*((INDEX(Cooper_pop_2030_2050!F:F, MATCH($A31, Cooper_pop_2030_2050!B:B, 0)))-(INDEX(Cooper_pop_2030_2050!E:E, MATCH($A31, Cooper_pop_2030_2050!B:B, 0))))</f>
        <v>9840364.1354799196</v>
      </c>
      <c r="V31">
        <f>(INDEX(Cooper_pop_2030_2050!E:E, MATCH($A31, Cooper_pop_2030_2050!B:B, 0)))+0.4*((INDEX(Cooper_pop_2030_2050!F:F, MATCH($A31, Cooper_pop_2030_2050!B:B, 0)))-(INDEX(Cooper_pop_2030_2050!E:E, MATCH($A31, Cooper_pop_2030_2050!B:B, 0))))</f>
        <v>9844203.8388104457</v>
      </c>
      <c r="W31">
        <f>(INDEX(Cooper_pop_2030_2050!E:E, MATCH($A31, Cooper_pop_2030_2050!B:B, 0)))+0.5*((INDEX(Cooper_pop_2030_2050!F:F, MATCH($A31, Cooper_pop_2030_2050!B:B, 0)))-(INDEX(Cooper_pop_2030_2050!E:E, MATCH($A31, Cooper_pop_2030_2050!B:B, 0))))</f>
        <v>9848043.5421409737</v>
      </c>
      <c r="X31">
        <f>(INDEX(Cooper_pop_2030_2050!E:E, MATCH($A31, Cooper_pop_2030_2050!B:B, 0)))+0.6*((INDEX(Cooper_pop_2030_2050!F:F, MATCH($A31, Cooper_pop_2030_2050!B:B, 0)))-(INDEX(Cooper_pop_2030_2050!E:E, MATCH($A31, Cooper_pop_2030_2050!B:B, 0))))</f>
        <v>9851883.2454715017</v>
      </c>
      <c r="Y31">
        <f>(INDEX(Cooper_pop_2030_2050!E:E, MATCH($A31, Cooper_pop_2030_2050!B:B, 0)))+0.7*((INDEX(Cooper_pop_2030_2050!F:F, MATCH($A31, Cooper_pop_2030_2050!B:B, 0)))-(INDEX(Cooper_pop_2030_2050!E:E, MATCH($A31, Cooper_pop_2030_2050!B:B, 0))))</f>
        <v>9855722.9488020279</v>
      </c>
      <c r="Z31">
        <f>(INDEX(Cooper_pop_2030_2050!E:E, MATCH($A31, Cooper_pop_2030_2050!B:B, 0)))+0.8*((INDEX(Cooper_pop_2030_2050!F:F, MATCH($A31, Cooper_pop_2030_2050!B:B, 0)))-(INDEX(Cooper_pop_2030_2050!E:E, MATCH($A31, Cooper_pop_2030_2050!B:B, 0))))</f>
        <v>9859562.6521325558</v>
      </c>
      <c r="AA31">
        <f>(INDEX(Cooper_pop_2030_2050!E:E, MATCH($A31, Cooper_pop_2030_2050!B:B, 0)))+0.9*((INDEX(Cooper_pop_2030_2050!F:F, MATCH($A31, Cooper_pop_2030_2050!B:B, 0)))-(INDEX(Cooper_pop_2030_2050!E:E, MATCH($A31, Cooper_pop_2030_2050!B:B, 0))))</f>
        <v>9863402.355463082</v>
      </c>
      <c r="AB31">
        <f>INDEX(Cooper_pop_2030_2050!F:F, MATCH($A31, Cooper_pop_2030_2050!B:B, 0))</f>
        <v>9867242.05879361</v>
      </c>
    </row>
    <row r="32" spans="1:28">
      <c r="A32" t="s">
        <v>2916</v>
      </c>
      <c r="B32">
        <f>IFERROR(INDEX(Census_pop_2020_2025!G:G, MATCH("."&amp;$A32, Census_pop_2020_2025!A:A, 0)),INDEX(Census_pop_2020_2025!G:G, MATCH($A32, Census_pop_2020_2025!A:A, 0)))</f>
        <v>2126774</v>
      </c>
      <c r="C32">
        <f>IFERROR(INDEX(Census_pop_2020_2025!H:H, MATCH("."&amp;$A32, Census_pop_2020_2025!A:A, 0)),INDEX(Census_pop_2020_2025!H:H, MATCH($A32, Census_pop_2020_2025!A:A, 0)))</f>
        <v>2125498</v>
      </c>
      <c r="D32">
        <f>(IFERROR(INDEX(Census_pop_2020_2025!H:H, MATCH("."&amp;$A32, Census_pop_2020_2025!A:A, 0)),INDEX(Census_pop_2020_2025!H:H, MATCH($A32, Census_pop_2020_2025!A:A, 0))))+0.2*((INDEX(Cooper_pop_2030_2050!D:D, MATCH($A32, Cooper_pop_2030_2050!B:B, 0)))-(IFERROR(INDEX(Census_pop_2020_2025!H:H, MATCH("."&amp;$A32, Census_pop_2020_2025!A:A, 0)),INDEX(Census_pop_2020_2025!H:H, MATCH($A32, Census_pop_2020_2025!A:A, 0)))))</f>
        <v>2132819.5540191745</v>
      </c>
      <c r="E32">
        <f>(IFERROR(INDEX(Census_pop_2020_2025!H:H, MATCH("."&amp;$A32, Census_pop_2020_2025!A:A, 0)),INDEX(Census_pop_2020_2025!H:H, MATCH($A32, Census_pop_2020_2025!A:A, 0))))+0.4*((INDEX(Cooper_pop_2030_2050!D:D, MATCH($A32, Cooper_pop_2030_2050!B:B, 0)))-(IFERROR(INDEX(Census_pop_2020_2025!H:H, MATCH("."&amp;$A32, Census_pop_2020_2025!A:A, 0)),INDEX(Census_pop_2020_2025!H:H, MATCH($A32, Census_pop_2020_2025!A:A, 0)))))</f>
        <v>2140141.1080383491</v>
      </c>
      <c r="F32">
        <f>(IFERROR(INDEX(Census_pop_2020_2025!H:H, MATCH("."&amp;$A32, Census_pop_2020_2025!A:A, 0)),INDEX(Census_pop_2020_2025!H:H, MATCH($A32, Census_pop_2020_2025!A:A, 0))))+0.6*((INDEX(Cooper_pop_2030_2050!D:D, MATCH($A32, Cooper_pop_2030_2050!B:B, 0)))-(IFERROR(INDEX(Census_pop_2020_2025!H:H, MATCH("."&amp;$A32, Census_pop_2020_2025!A:A, 0)),INDEX(Census_pop_2020_2025!H:H, MATCH($A32, Census_pop_2020_2025!A:A, 0)))))</f>
        <v>2147462.6620575241</v>
      </c>
      <c r="G32">
        <f>(IFERROR(INDEX(Census_pop_2020_2025!H:H, MATCH("."&amp;$A32, Census_pop_2020_2025!A:A, 0)),INDEX(Census_pop_2020_2025!H:H, MATCH($A32, Census_pop_2020_2025!A:A, 0))))+0.8*((INDEX(Cooper_pop_2030_2050!D:D, MATCH($A32, Cooper_pop_2030_2050!B:B, 0)))-(IFERROR(INDEX(Census_pop_2020_2025!H:H, MATCH("."&amp;$A32, Census_pop_2020_2025!A:A, 0)),INDEX(Census_pop_2020_2025!H:H, MATCH($A32, Census_pop_2020_2025!A:A, 0)))))</f>
        <v>2154784.2160766986</v>
      </c>
      <c r="H32">
        <f>INDEX(Cooper_pop_2030_2050!D:D, MATCH($A32, Cooper_pop_2030_2050!B:B, 0))</f>
        <v>2162105.7700958732</v>
      </c>
      <c r="I32">
        <f>(INDEX(Cooper_pop_2030_2050!D:D, MATCH($A32, Cooper_pop_2030_2050!B:B, 0)))+0.1*((INDEX(Cooper_pop_2030_2050!E:E, MATCH($A32, Cooper_pop_2030_2050!B:B, 0)))-(INDEX(Cooper_pop_2030_2050!D:D, MATCH($A32, Cooper_pop_2030_2050!B:B, 0))))</f>
        <v>2159660.337003971</v>
      </c>
      <c r="J32">
        <f>(INDEX(Cooper_pop_2030_2050!D:D, MATCH($A32, Cooper_pop_2030_2050!B:B, 0)))+0.2*((INDEX(Cooper_pop_2030_2050!E:E, MATCH($A32, Cooper_pop_2030_2050!B:B, 0)))-(INDEX(Cooper_pop_2030_2050!D:D, MATCH($A32, Cooper_pop_2030_2050!B:B, 0))))</f>
        <v>2157214.9039120693</v>
      </c>
      <c r="K32">
        <f>(INDEX(Cooper_pop_2030_2050!D:D, MATCH($A32, Cooper_pop_2030_2050!B:B, 0)))+0.3*((INDEX(Cooper_pop_2030_2050!E:E, MATCH($A32, Cooper_pop_2030_2050!B:B, 0)))-(INDEX(Cooper_pop_2030_2050!D:D, MATCH($A32, Cooper_pop_2030_2050!B:B, 0))))</f>
        <v>2154769.4708201671</v>
      </c>
      <c r="L32">
        <f>(INDEX(Cooper_pop_2030_2050!D:D, MATCH($A32, Cooper_pop_2030_2050!B:B, 0)))+0.4*((INDEX(Cooper_pop_2030_2050!E:E, MATCH($A32, Cooper_pop_2030_2050!B:B, 0)))-(INDEX(Cooper_pop_2030_2050!D:D, MATCH($A32, Cooper_pop_2030_2050!B:B, 0))))</f>
        <v>2152324.0377282649</v>
      </c>
      <c r="M32">
        <f>(INDEX(Cooper_pop_2030_2050!D:D, MATCH($A32, Cooper_pop_2030_2050!B:B, 0)))+0.5*((INDEX(Cooper_pop_2030_2050!E:E, MATCH($A32, Cooper_pop_2030_2050!B:B, 0)))-(INDEX(Cooper_pop_2030_2050!D:D, MATCH($A32, Cooper_pop_2030_2050!B:B, 0))))</f>
        <v>2149878.6046363628</v>
      </c>
      <c r="N32">
        <f>(INDEX(Cooper_pop_2030_2050!D:D, MATCH($A32, Cooper_pop_2030_2050!B:B, 0)))+0.6*((INDEX(Cooper_pop_2030_2050!E:E, MATCH($A32, Cooper_pop_2030_2050!B:B, 0)))-(INDEX(Cooper_pop_2030_2050!D:D, MATCH($A32, Cooper_pop_2030_2050!B:B, 0))))</f>
        <v>2147433.171544461</v>
      </c>
      <c r="O32">
        <f>(INDEX(Cooper_pop_2030_2050!D:D, MATCH($A32, Cooper_pop_2030_2050!B:B, 0)))+0.7*((INDEX(Cooper_pop_2030_2050!E:E, MATCH($A32, Cooper_pop_2030_2050!B:B, 0)))-(INDEX(Cooper_pop_2030_2050!D:D, MATCH($A32, Cooper_pop_2030_2050!B:B, 0))))</f>
        <v>2144987.7384525589</v>
      </c>
      <c r="P32">
        <f>(INDEX(Cooper_pop_2030_2050!D:D, MATCH($A32, Cooper_pop_2030_2050!B:B, 0)))+0.8*((INDEX(Cooper_pop_2030_2050!E:E, MATCH($A32, Cooper_pop_2030_2050!B:B, 0)))-(INDEX(Cooper_pop_2030_2050!D:D, MATCH($A32, Cooper_pop_2030_2050!B:B, 0))))</f>
        <v>2142542.3053606567</v>
      </c>
      <c r="Q32">
        <f>(INDEX(Cooper_pop_2030_2050!D:D, MATCH($A32, Cooper_pop_2030_2050!B:B, 0)))+0.9*((INDEX(Cooper_pop_2030_2050!E:E, MATCH($A32, Cooper_pop_2030_2050!B:B, 0)))-(INDEX(Cooper_pop_2030_2050!D:D, MATCH($A32, Cooper_pop_2030_2050!B:B, 0))))</f>
        <v>2140096.872268755</v>
      </c>
      <c r="R32">
        <f>INDEX(Cooper_pop_2030_2050!E:E, MATCH($A32, Cooper_pop_2030_2050!B:B, 0))</f>
        <v>2137651.4391768528</v>
      </c>
      <c r="S32">
        <f>(INDEX(Cooper_pop_2030_2050!E:E, MATCH($A32, Cooper_pop_2030_2050!B:B, 0)))+0.1*((INDEX(Cooper_pop_2030_2050!F:F, MATCH($A32, Cooper_pop_2030_2050!B:B, 0)))-(INDEX(Cooper_pop_2030_2050!E:E, MATCH($A32, Cooper_pop_2030_2050!B:B, 0))))</f>
        <v>2132757.1182249864</v>
      </c>
      <c r="T32">
        <f>(INDEX(Cooper_pop_2030_2050!E:E, MATCH($A32, Cooper_pop_2030_2050!B:B, 0)))+0.2*((INDEX(Cooper_pop_2030_2050!F:F, MATCH($A32, Cooper_pop_2030_2050!B:B, 0)))-(INDEX(Cooper_pop_2030_2050!E:E, MATCH($A32, Cooper_pop_2030_2050!B:B, 0))))</f>
        <v>2127862.7972731194</v>
      </c>
      <c r="U32">
        <f>(INDEX(Cooper_pop_2030_2050!E:E, MATCH($A32, Cooper_pop_2030_2050!B:B, 0)))+0.3*((INDEX(Cooper_pop_2030_2050!F:F, MATCH($A32, Cooper_pop_2030_2050!B:B, 0)))-(INDEX(Cooper_pop_2030_2050!E:E, MATCH($A32, Cooper_pop_2030_2050!B:B, 0))))</f>
        <v>2122968.476321253</v>
      </c>
      <c r="V32">
        <f>(INDEX(Cooper_pop_2030_2050!E:E, MATCH($A32, Cooper_pop_2030_2050!B:B, 0)))+0.4*((INDEX(Cooper_pop_2030_2050!F:F, MATCH($A32, Cooper_pop_2030_2050!B:B, 0)))-(INDEX(Cooper_pop_2030_2050!E:E, MATCH($A32, Cooper_pop_2030_2050!B:B, 0))))</f>
        <v>2118074.1553693865</v>
      </c>
      <c r="W32">
        <f>(INDEX(Cooper_pop_2030_2050!E:E, MATCH($A32, Cooper_pop_2030_2050!B:B, 0)))+0.5*((INDEX(Cooper_pop_2030_2050!F:F, MATCH($A32, Cooper_pop_2030_2050!B:B, 0)))-(INDEX(Cooper_pop_2030_2050!E:E, MATCH($A32, Cooper_pop_2030_2050!B:B, 0))))</f>
        <v>2113179.8344175201</v>
      </c>
      <c r="X32">
        <f>(INDEX(Cooper_pop_2030_2050!E:E, MATCH($A32, Cooper_pop_2030_2050!B:B, 0)))+0.6*((INDEX(Cooper_pop_2030_2050!F:F, MATCH($A32, Cooper_pop_2030_2050!B:B, 0)))-(INDEX(Cooper_pop_2030_2050!E:E, MATCH($A32, Cooper_pop_2030_2050!B:B, 0))))</f>
        <v>2108285.5134656532</v>
      </c>
      <c r="Y32">
        <f>(INDEX(Cooper_pop_2030_2050!E:E, MATCH($A32, Cooper_pop_2030_2050!B:B, 0)))+0.7*((INDEX(Cooper_pop_2030_2050!F:F, MATCH($A32, Cooper_pop_2030_2050!B:B, 0)))-(INDEX(Cooper_pop_2030_2050!E:E, MATCH($A32, Cooper_pop_2030_2050!B:B, 0))))</f>
        <v>2103391.1925137867</v>
      </c>
      <c r="Z32">
        <f>(INDEX(Cooper_pop_2030_2050!E:E, MATCH($A32, Cooper_pop_2030_2050!B:B, 0)))+0.8*((INDEX(Cooper_pop_2030_2050!F:F, MATCH($A32, Cooper_pop_2030_2050!B:B, 0)))-(INDEX(Cooper_pop_2030_2050!E:E, MATCH($A32, Cooper_pop_2030_2050!B:B, 0))))</f>
        <v>2098496.8715619203</v>
      </c>
      <c r="AA32">
        <f>(INDEX(Cooper_pop_2030_2050!E:E, MATCH($A32, Cooper_pop_2030_2050!B:B, 0)))+0.9*((INDEX(Cooper_pop_2030_2050!F:F, MATCH($A32, Cooper_pop_2030_2050!B:B, 0)))-(INDEX(Cooper_pop_2030_2050!E:E, MATCH($A32, Cooper_pop_2030_2050!B:B, 0))))</f>
        <v>2093602.5506100536</v>
      </c>
      <c r="AB32">
        <f>INDEX(Cooper_pop_2030_2050!F:F, MATCH($A32, Cooper_pop_2030_2050!B:B, 0))</f>
        <v>2088708.2296581869</v>
      </c>
    </row>
    <row r="33" spans="1:28">
      <c r="A33" t="s">
        <v>2917</v>
      </c>
      <c r="B33">
        <f>IFERROR(INDEX(Census_pop_2020_2025!G:G, MATCH("."&amp;$A33, Census_pop_2020_2025!A:A, 0)),INDEX(Census_pop_2020_2025!G:G, MATCH($A33, Census_pop_2020_2025!A:A, 0)))</f>
        <v>20001419</v>
      </c>
      <c r="C33">
        <f>IFERROR(INDEX(Census_pop_2020_2025!H:H, MATCH("."&amp;$A33, Census_pop_2020_2025!A:A, 0)),INDEX(Census_pop_2020_2025!H:H, MATCH($A33, Census_pop_2020_2025!A:A, 0)))</f>
        <v>20002427</v>
      </c>
      <c r="D33">
        <f>(IFERROR(INDEX(Census_pop_2020_2025!H:H, MATCH("."&amp;$A33, Census_pop_2020_2025!A:A, 0)),INDEX(Census_pop_2020_2025!H:H, MATCH($A33, Census_pop_2020_2025!A:A, 0))))+0.2*((INDEX(Cooper_pop_2030_2050!D:D, MATCH($A33, Cooper_pop_2030_2050!B:B, 0)))-(IFERROR(INDEX(Census_pop_2020_2025!H:H, MATCH("."&amp;$A33, Census_pop_2020_2025!A:A, 0)),INDEX(Census_pop_2020_2025!H:H, MATCH($A33, Census_pop_2020_2025!A:A, 0)))))</f>
        <v>20169160.030746706</v>
      </c>
      <c r="E33">
        <f>(IFERROR(INDEX(Census_pop_2020_2025!H:H, MATCH("."&amp;$A33, Census_pop_2020_2025!A:A, 0)),INDEX(Census_pop_2020_2025!H:H, MATCH($A33, Census_pop_2020_2025!A:A, 0))))+0.4*((INDEX(Cooper_pop_2030_2050!D:D, MATCH($A33, Cooper_pop_2030_2050!B:B, 0)))-(IFERROR(INDEX(Census_pop_2020_2025!H:H, MATCH("."&amp;$A33, Census_pop_2020_2025!A:A, 0)),INDEX(Census_pop_2020_2025!H:H, MATCH($A33, Census_pop_2020_2025!A:A, 0)))))</f>
        <v>20335893.061493412</v>
      </c>
      <c r="F33">
        <f>(IFERROR(INDEX(Census_pop_2020_2025!H:H, MATCH("."&amp;$A33, Census_pop_2020_2025!A:A, 0)),INDEX(Census_pop_2020_2025!H:H, MATCH($A33, Census_pop_2020_2025!A:A, 0))))+0.6*((INDEX(Cooper_pop_2030_2050!D:D, MATCH($A33, Cooper_pop_2030_2050!B:B, 0)))-(IFERROR(INDEX(Census_pop_2020_2025!H:H, MATCH("."&amp;$A33, Census_pop_2020_2025!A:A, 0)),INDEX(Census_pop_2020_2025!H:H, MATCH($A33, Census_pop_2020_2025!A:A, 0)))))</f>
        <v>20502626.092240117</v>
      </c>
      <c r="G33">
        <f>(IFERROR(INDEX(Census_pop_2020_2025!H:H, MATCH("."&amp;$A33, Census_pop_2020_2025!A:A, 0)),INDEX(Census_pop_2020_2025!H:H, MATCH($A33, Census_pop_2020_2025!A:A, 0))))+0.8*((INDEX(Cooper_pop_2030_2050!D:D, MATCH($A33, Cooper_pop_2030_2050!B:B, 0)))-(IFERROR(INDEX(Census_pop_2020_2025!H:H, MATCH("."&amp;$A33, Census_pop_2020_2025!A:A, 0)),INDEX(Census_pop_2020_2025!H:H, MATCH($A33, Census_pop_2020_2025!A:A, 0)))))</f>
        <v>20669359.122986823</v>
      </c>
      <c r="H33">
        <f>INDEX(Cooper_pop_2030_2050!D:D, MATCH($A33, Cooper_pop_2030_2050!B:B, 0))</f>
        <v>20836092.153733529</v>
      </c>
      <c r="I33">
        <f>(INDEX(Cooper_pop_2030_2050!D:D, MATCH($A33, Cooper_pop_2030_2050!B:B, 0)))+0.1*((INDEX(Cooper_pop_2030_2050!E:E, MATCH($A33, Cooper_pop_2030_2050!B:B, 0)))-(INDEX(Cooper_pop_2030_2050!D:D, MATCH($A33, Cooper_pop_2030_2050!B:B, 0))))</f>
        <v>20840862.233933028</v>
      </c>
      <c r="J33">
        <f>(INDEX(Cooper_pop_2030_2050!D:D, MATCH($A33, Cooper_pop_2030_2050!B:B, 0)))+0.2*((INDEX(Cooper_pop_2030_2050!E:E, MATCH($A33, Cooper_pop_2030_2050!B:B, 0)))-(INDEX(Cooper_pop_2030_2050!D:D, MATCH($A33, Cooper_pop_2030_2050!B:B, 0))))</f>
        <v>20845632.314132527</v>
      </c>
      <c r="K33">
        <f>(INDEX(Cooper_pop_2030_2050!D:D, MATCH($A33, Cooper_pop_2030_2050!B:B, 0)))+0.3*((INDEX(Cooper_pop_2030_2050!E:E, MATCH($A33, Cooper_pop_2030_2050!B:B, 0)))-(INDEX(Cooper_pop_2030_2050!D:D, MATCH($A33, Cooper_pop_2030_2050!B:B, 0))))</f>
        <v>20850402.394332021</v>
      </c>
      <c r="L33">
        <f>(INDEX(Cooper_pop_2030_2050!D:D, MATCH($A33, Cooper_pop_2030_2050!B:B, 0)))+0.4*((INDEX(Cooper_pop_2030_2050!E:E, MATCH($A33, Cooper_pop_2030_2050!B:B, 0)))-(INDEX(Cooper_pop_2030_2050!D:D, MATCH($A33, Cooper_pop_2030_2050!B:B, 0))))</f>
        <v>20855172.47453152</v>
      </c>
      <c r="M33">
        <f>(INDEX(Cooper_pop_2030_2050!D:D, MATCH($A33, Cooper_pop_2030_2050!B:B, 0)))+0.5*((INDEX(Cooper_pop_2030_2050!E:E, MATCH($A33, Cooper_pop_2030_2050!B:B, 0)))-(INDEX(Cooper_pop_2030_2050!D:D, MATCH($A33, Cooper_pop_2030_2050!B:B, 0))))</f>
        <v>20859942.554731019</v>
      </c>
      <c r="N33">
        <f>(INDEX(Cooper_pop_2030_2050!D:D, MATCH($A33, Cooper_pop_2030_2050!B:B, 0)))+0.6*((INDEX(Cooper_pop_2030_2050!E:E, MATCH($A33, Cooper_pop_2030_2050!B:B, 0)))-(INDEX(Cooper_pop_2030_2050!D:D, MATCH($A33, Cooper_pop_2030_2050!B:B, 0))))</f>
        <v>20864712.634930518</v>
      </c>
      <c r="O33">
        <f>(INDEX(Cooper_pop_2030_2050!D:D, MATCH($A33, Cooper_pop_2030_2050!B:B, 0)))+0.7*((INDEX(Cooper_pop_2030_2050!E:E, MATCH($A33, Cooper_pop_2030_2050!B:B, 0)))-(INDEX(Cooper_pop_2030_2050!D:D, MATCH($A33, Cooper_pop_2030_2050!B:B, 0))))</f>
        <v>20869482.715130016</v>
      </c>
      <c r="P33">
        <f>(INDEX(Cooper_pop_2030_2050!D:D, MATCH($A33, Cooper_pop_2030_2050!B:B, 0)))+0.8*((INDEX(Cooper_pop_2030_2050!E:E, MATCH($A33, Cooper_pop_2030_2050!B:B, 0)))-(INDEX(Cooper_pop_2030_2050!D:D, MATCH($A33, Cooper_pop_2030_2050!B:B, 0))))</f>
        <v>20874252.795329511</v>
      </c>
      <c r="Q33">
        <f>(INDEX(Cooper_pop_2030_2050!D:D, MATCH($A33, Cooper_pop_2030_2050!B:B, 0)))+0.9*((INDEX(Cooper_pop_2030_2050!E:E, MATCH($A33, Cooper_pop_2030_2050!B:B, 0)))-(INDEX(Cooper_pop_2030_2050!D:D, MATCH($A33, Cooper_pop_2030_2050!B:B, 0))))</f>
        <v>20879022.87552901</v>
      </c>
      <c r="R33">
        <f>INDEX(Cooper_pop_2030_2050!E:E, MATCH($A33, Cooper_pop_2030_2050!B:B, 0))</f>
        <v>20883792.955728509</v>
      </c>
      <c r="S33">
        <f>(INDEX(Cooper_pop_2030_2050!E:E, MATCH($A33, Cooper_pop_2030_2050!B:B, 0)))+0.1*((INDEX(Cooper_pop_2030_2050!F:F, MATCH($A33, Cooper_pop_2030_2050!B:B, 0)))-(INDEX(Cooper_pop_2030_2050!E:E, MATCH($A33, Cooper_pop_2030_2050!B:B, 0))))</f>
        <v>20864046.519157469</v>
      </c>
      <c r="T33">
        <f>(INDEX(Cooper_pop_2030_2050!E:E, MATCH($A33, Cooper_pop_2030_2050!B:B, 0)))+0.2*((INDEX(Cooper_pop_2030_2050!F:F, MATCH($A33, Cooper_pop_2030_2050!B:B, 0)))-(INDEX(Cooper_pop_2030_2050!E:E, MATCH($A33, Cooper_pop_2030_2050!B:B, 0))))</f>
        <v>20844300.082586434</v>
      </c>
      <c r="U33">
        <f>(INDEX(Cooper_pop_2030_2050!E:E, MATCH($A33, Cooper_pop_2030_2050!B:B, 0)))+0.3*((INDEX(Cooper_pop_2030_2050!F:F, MATCH($A33, Cooper_pop_2030_2050!B:B, 0)))-(INDEX(Cooper_pop_2030_2050!E:E, MATCH($A33, Cooper_pop_2030_2050!B:B, 0))))</f>
        <v>20824553.646015394</v>
      </c>
      <c r="V33">
        <f>(INDEX(Cooper_pop_2030_2050!E:E, MATCH($A33, Cooper_pop_2030_2050!B:B, 0)))+0.4*((INDEX(Cooper_pop_2030_2050!F:F, MATCH($A33, Cooper_pop_2030_2050!B:B, 0)))-(INDEX(Cooper_pop_2030_2050!E:E, MATCH($A33, Cooper_pop_2030_2050!B:B, 0))))</f>
        <v>20804807.209444359</v>
      </c>
      <c r="W33">
        <f>(INDEX(Cooper_pop_2030_2050!E:E, MATCH($A33, Cooper_pop_2030_2050!B:B, 0)))+0.5*((INDEX(Cooper_pop_2030_2050!F:F, MATCH($A33, Cooper_pop_2030_2050!B:B, 0)))-(INDEX(Cooper_pop_2030_2050!E:E, MATCH($A33, Cooper_pop_2030_2050!B:B, 0))))</f>
        <v>20785060.77287332</v>
      </c>
      <c r="X33">
        <f>(INDEX(Cooper_pop_2030_2050!E:E, MATCH($A33, Cooper_pop_2030_2050!B:B, 0)))+0.6*((INDEX(Cooper_pop_2030_2050!F:F, MATCH($A33, Cooper_pop_2030_2050!B:B, 0)))-(INDEX(Cooper_pop_2030_2050!E:E, MATCH($A33, Cooper_pop_2030_2050!B:B, 0))))</f>
        <v>20765314.33630228</v>
      </c>
      <c r="Y33">
        <f>(INDEX(Cooper_pop_2030_2050!E:E, MATCH($A33, Cooper_pop_2030_2050!B:B, 0)))+0.7*((INDEX(Cooper_pop_2030_2050!F:F, MATCH($A33, Cooper_pop_2030_2050!B:B, 0)))-(INDEX(Cooper_pop_2030_2050!E:E, MATCH($A33, Cooper_pop_2030_2050!B:B, 0))))</f>
        <v>20745567.899731245</v>
      </c>
      <c r="Z33">
        <f>(INDEX(Cooper_pop_2030_2050!E:E, MATCH($A33, Cooper_pop_2030_2050!B:B, 0)))+0.8*((INDEX(Cooper_pop_2030_2050!F:F, MATCH($A33, Cooper_pop_2030_2050!B:B, 0)))-(INDEX(Cooper_pop_2030_2050!E:E, MATCH($A33, Cooper_pop_2030_2050!B:B, 0))))</f>
        <v>20725821.463160206</v>
      </c>
      <c r="AA33">
        <f>(INDEX(Cooper_pop_2030_2050!E:E, MATCH($A33, Cooper_pop_2030_2050!B:B, 0)))+0.9*((INDEX(Cooper_pop_2030_2050!F:F, MATCH($A33, Cooper_pop_2030_2050!B:B, 0)))-(INDEX(Cooper_pop_2030_2050!E:E, MATCH($A33, Cooper_pop_2030_2050!B:B, 0))))</f>
        <v>20706075.02658917</v>
      </c>
      <c r="AB33">
        <f>INDEX(Cooper_pop_2030_2050!F:F, MATCH($A33, Cooper_pop_2030_2050!B:B, 0))</f>
        <v>20686328.590018131</v>
      </c>
    </row>
    <row r="34" spans="1:28">
      <c r="A34" t="s">
        <v>2918</v>
      </c>
      <c r="B34">
        <f>IFERROR(INDEX(Census_pop_2020_2025!G:G, MATCH("."&amp;$A34, Census_pop_2020_2025!A:A, 0)),INDEX(Census_pop_2020_2025!G:G, MATCH($A34, Census_pop_2020_2025!A:A, 0)))</f>
        <v>11052061</v>
      </c>
      <c r="C34">
        <f>IFERROR(INDEX(Census_pop_2020_2025!H:H, MATCH("."&amp;$A34, Census_pop_2020_2025!A:A, 0)),INDEX(Census_pop_2020_2025!H:H, MATCH($A34, Census_pop_2020_2025!A:A, 0)))</f>
        <v>11197968</v>
      </c>
      <c r="D34">
        <f>(IFERROR(INDEX(Census_pop_2020_2025!H:H, MATCH("."&amp;$A34, Census_pop_2020_2025!A:A, 0)),INDEX(Census_pop_2020_2025!H:H, MATCH($A34, Census_pop_2020_2025!A:A, 0))))+0.2*((INDEX(Cooper_pop_2030_2050!D:D, MATCH($A34, Cooper_pop_2030_2050!B:B, 0)))-(IFERROR(INDEX(Census_pop_2020_2025!H:H, MATCH("."&amp;$A34, Census_pop_2020_2025!A:A, 0)),INDEX(Census_pop_2020_2025!H:H, MATCH($A34, Census_pop_2020_2025!A:A, 0)))))</f>
        <v>11190406.212122211</v>
      </c>
      <c r="E34">
        <f>(IFERROR(INDEX(Census_pop_2020_2025!H:H, MATCH("."&amp;$A34, Census_pop_2020_2025!A:A, 0)),INDEX(Census_pop_2020_2025!H:H, MATCH($A34, Census_pop_2020_2025!A:A, 0))))+0.4*((INDEX(Cooper_pop_2030_2050!D:D, MATCH($A34, Cooper_pop_2030_2050!B:B, 0)))-(IFERROR(INDEX(Census_pop_2020_2025!H:H, MATCH("."&amp;$A34, Census_pop_2020_2025!A:A, 0)),INDEX(Census_pop_2020_2025!H:H, MATCH($A34, Census_pop_2020_2025!A:A, 0)))))</f>
        <v>11182844.424244424</v>
      </c>
      <c r="F34">
        <f>(IFERROR(INDEX(Census_pop_2020_2025!H:H, MATCH("."&amp;$A34, Census_pop_2020_2025!A:A, 0)),INDEX(Census_pop_2020_2025!H:H, MATCH($A34, Census_pop_2020_2025!A:A, 0))))+0.6*((INDEX(Cooper_pop_2030_2050!D:D, MATCH($A34, Cooper_pop_2030_2050!B:B, 0)))-(IFERROR(INDEX(Census_pop_2020_2025!H:H, MATCH("."&amp;$A34, Census_pop_2020_2025!A:A, 0)),INDEX(Census_pop_2020_2025!H:H, MATCH($A34, Census_pop_2020_2025!A:A, 0)))))</f>
        <v>11175282.636366636</v>
      </c>
      <c r="G34">
        <f>(IFERROR(INDEX(Census_pop_2020_2025!H:H, MATCH("."&amp;$A34, Census_pop_2020_2025!A:A, 0)),INDEX(Census_pop_2020_2025!H:H, MATCH($A34, Census_pop_2020_2025!A:A, 0))))+0.8*((INDEX(Cooper_pop_2030_2050!D:D, MATCH($A34, Cooper_pop_2030_2050!B:B, 0)))-(IFERROR(INDEX(Census_pop_2020_2025!H:H, MATCH("."&amp;$A34, Census_pop_2020_2025!A:A, 0)),INDEX(Census_pop_2020_2025!H:H, MATCH($A34, Census_pop_2020_2025!A:A, 0)))))</f>
        <v>11167720.848488849</v>
      </c>
      <c r="H34">
        <f>INDEX(Cooper_pop_2030_2050!D:D, MATCH($A34, Cooper_pop_2030_2050!B:B, 0))</f>
        <v>11160159.06061106</v>
      </c>
      <c r="I34">
        <f>(INDEX(Cooper_pop_2030_2050!D:D, MATCH($A34, Cooper_pop_2030_2050!B:B, 0)))+0.1*((INDEX(Cooper_pop_2030_2050!E:E, MATCH($A34, Cooper_pop_2030_2050!B:B, 0)))-(INDEX(Cooper_pop_2030_2050!D:D, MATCH($A34, Cooper_pop_2030_2050!B:B, 0))))</f>
        <v>11218848.250198275</v>
      </c>
      <c r="J34">
        <f>(INDEX(Cooper_pop_2030_2050!D:D, MATCH($A34, Cooper_pop_2030_2050!B:B, 0)))+0.2*((INDEX(Cooper_pop_2030_2050!E:E, MATCH($A34, Cooper_pop_2030_2050!B:B, 0)))-(INDEX(Cooper_pop_2030_2050!D:D, MATCH($A34, Cooper_pop_2030_2050!B:B, 0))))</f>
        <v>11277537.43978549</v>
      </c>
      <c r="K34">
        <f>(INDEX(Cooper_pop_2030_2050!D:D, MATCH($A34, Cooper_pop_2030_2050!B:B, 0)))+0.3*((INDEX(Cooper_pop_2030_2050!E:E, MATCH($A34, Cooper_pop_2030_2050!B:B, 0)))-(INDEX(Cooper_pop_2030_2050!D:D, MATCH($A34, Cooper_pop_2030_2050!B:B, 0))))</f>
        <v>11336226.629372705</v>
      </c>
      <c r="L34">
        <f>(INDEX(Cooper_pop_2030_2050!D:D, MATCH($A34, Cooper_pop_2030_2050!B:B, 0)))+0.4*((INDEX(Cooper_pop_2030_2050!E:E, MATCH($A34, Cooper_pop_2030_2050!B:B, 0)))-(INDEX(Cooper_pop_2030_2050!D:D, MATCH($A34, Cooper_pop_2030_2050!B:B, 0))))</f>
        <v>11394915.81895992</v>
      </c>
      <c r="M34">
        <f>(INDEX(Cooper_pop_2030_2050!D:D, MATCH($A34, Cooper_pop_2030_2050!B:B, 0)))+0.5*((INDEX(Cooper_pop_2030_2050!E:E, MATCH($A34, Cooper_pop_2030_2050!B:B, 0)))-(INDEX(Cooper_pop_2030_2050!D:D, MATCH($A34, Cooper_pop_2030_2050!B:B, 0))))</f>
        <v>11453605.008547135</v>
      </c>
      <c r="N34">
        <f>(INDEX(Cooper_pop_2030_2050!D:D, MATCH($A34, Cooper_pop_2030_2050!B:B, 0)))+0.6*((INDEX(Cooper_pop_2030_2050!E:E, MATCH($A34, Cooper_pop_2030_2050!B:B, 0)))-(INDEX(Cooper_pop_2030_2050!D:D, MATCH($A34, Cooper_pop_2030_2050!B:B, 0))))</f>
        <v>11512294.19813435</v>
      </c>
      <c r="O34">
        <f>(INDEX(Cooper_pop_2030_2050!D:D, MATCH($A34, Cooper_pop_2030_2050!B:B, 0)))+0.7*((INDEX(Cooper_pop_2030_2050!E:E, MATCH($A34, Cooper_pop_2030_2050!B:B, 0)))-(INDEX(Cooper_pop_2030_2050!D:D, MATCH($A34, Cooper_pop_2030_2050!B:B, 0))))</f>
        <v>11570983.387721565</v>
      </c>
      <c r="P34">
        <f>(INDEX(Cooper_pop_2030_2050!D:D, MATCH($A34, Cooper_pop_2030_2050!B:B, 0)))+0.8*((INDEX(Cooper_pop_2030_2050!E:E, MATCH($A34, Cooper_pop_2030_2050!B:B, 0)))-(INDEX(Cooper_pop_2030_2050!D:D, MATCH($A34, Cooper_pop_2030_2050!B:B, 0))))</f>
        <v>11629672.57730878</v>
      </c>
      <c r="Q34">
        <f>(INDEX(Cooper_pop_2030_2050!D:D, MATCH($A34, Cooper_pop_2030_2050!B:B, 0)))+0.9*((INDEX(Cooper_pop_2030_2050!E:E, MATCH($A34, Cooper_pop_2030_2050!B:B, 0)))-(INDEX(Cooper_pop_2030_2050!D:D, MATCH($A34, Cooper_pop_2030_2050!B:B, 0))))</f>
        <v>11688361.766895995</v>
      </c>
      <c r="R34">
        <f>INDEX(Cooper_pop_2030_2050!E:E, MATCH($A34, Cooper_pop_2030_2050!B:B, 0))</f>
        <v>11747050.95648321</v>
      </c>
      <c r="S34">
        <f>(INDEX(Cooper_pop_2030_2050!E:E, MATCH($A34, Cooper_pop_2030_2050!B:B, 0)))+0.1*((INDEX(Cooper_pop_2030_2050!F:F, MATCH($A34, Cooper_pop_2030_2050!B:B, 0)))-(INDEX(Cooper_pop_2030_2050!E:E, MATCH($A34, Cooper_pop_2030_2050!B:B, 0))))</f>
        <v>11794337.547827594</v>
      </c>
      <c r="T34">
        <f>(INDEX(Cooper_pop_2030_2050!E:E, MATCH($A34, Cooper_pop_2030_2050!B:B, 0)))+0.2*((INDEX(Cooper_pop_2030_2050!F:F, MATCH($A34, Cooper_pop_2030_2050!B:B, 0)))-(INDEX(Cooper_pop_2030_2050!E:E, MATCH($A34, Cooper_pop_2030_2050!B:B, 0))))</f>
        <v>11841624.13917198</v>
      </c>
      <c r="U34">
        <f>(INDEX(Cooper_pop_2030_2050!E:E, MATCH($A34, Cooper_pop_2030_2050!B:B, 0)))+0.3*((INDEX(Cooper_pop_2030_2050!F:F, MATCH($A34, Cooper_pop_2030_2050!B:B, 0)))-(INDEX(Cooper_pop_2030_2050!E:E, MATCH($A34, Cooper_pop_2030_2050!B:B, 0))))</f>
        <v>11888910.730516365</v>
      </c>
      <c r="V34">
        <f>(INDEX(Cooper_pop_2030_2050!E:E, MATCH($A34, Cooper_pop_2030_2050!B:B, 0)))+0.4*((INDEX(Cooper_pop_2030_2050!F:F, MATCH($A34, Cooper_pop_2030_2050!B:B, 0)))-(INDEX(Cooper_pop_2030_2050!E:E, MATCH($A34, Cooper_pop_2030_2050!B:B, 0))))</f>
        <v>11936197.321860749</v>
      </c>
      <c r="W34">
        <f>(INDEX(Cooper_pop_2030_2050!E:E, MATCH($A34, Cooper_pop_2030_2050!B:B, 0)))+0.5*((INDEX(Cooper_pop_2030_2050!F:F, MATCH($A34, Cooper_pop_2030_2050!B:B, 0)))-(INDEX(Cooper_pop_2030_2050!E:E, MATCH($A34, Cooper_pop_2030_2050!B:B, 0))))</f>
        <v>11983483.913205136</v>
      </c>
      <c r="X34">
        <f>(INDEX(Cooper_pop_2030_2050!E:E, MATCH($A34, Cooper_pop_2030_2050!B:B, 0)))+0.6*((INDEX(Cooper_pop_2030_2050!F:F, MATCH($A34, Cooper_pop_2030_2050!B:B, 0)))-(INDEX(Cooper_pop_2030_2050!E:E, MATCH($A34, Cooper_pop_2030_2050!B:B, 0))))</f>
        <v>12030770.50454952</v>
      </c>
      <c r="Y34">
        <f>(INDEX(Cooper_pop_2030_2050!E:E, MATCH($A34, Cooper_pop_2030_2050!B:B, 0)))+0.7*((INDEX(Cooper_pop_2030_2050!F:F, MATCH($A34, Cooper_pop_2030_2050!B:B, 0)))-(INDEX(Cooper_pop_2030_2050!E:E, MATCH($A34, Cooper_pop_2030_2050!B:B, 0))))</f>
        <v>12078057.095893905</v>
      </c>
      <c r="Z34">
        <f>(INDEX(Cooper_pop_2030_2050!E:E, MATCH($A34, Cooper_pop_2030_2050!B:B, 0)))+0.8*((INDEX(Cooper_pop_2030_2050!F:F, MATCH($A34, Cooper_pop_2030_2050!B:B, 0)))-(INDEX(Cooper_pop_2030_2050!E:E, MATCH($A34, Cooper_pop_2030_2050!B:B, 0))))</f>
        <v>12125343.687238289</v>
      </c>
      <c r="AA34">
        <f>(INDEX(Cooper_pop_2030_2050!E:E, MATCH($A34, Cooper_pop_2030_2050!B:B, 0)))+0.9*((INDEX(Cooper_pop_2030_2050!F:F, MATCH($A34, Cooper_pop_2030_2050!B:B, 0)))-(INDEX(Cooper_pop_2030_2050!E:E, MATCH($A34, Cooper_pop_2030_2050!B:B, 0))))</f>
        <v>12172630.278582675</v>
      </c>
      <c r="AB34">
        <f>INDEX(Cooper_pop_2030_2050!F:F, MATCH($A34, Cooper_pop_2030_2050!B:B, 0))</f>
        <v>12219916.86992706</v>
      </c>
    </row>
    <row r="35" spans="1:28">
      <c r="A35" t="s">
        <v>2919</v>
      </c>
      <c r="B35">
        <f>IFERROR(INDEX(Census_pop_2020_2025!G:G, MATCH("."&amp;$A35, Census_pop_2020_2025!A:A, 0)),INDEX(Census_pop_2020_2025!G:G, MATCH($A35, Census_pop_2020_2025!A:A, 0)))</f>
        <v>793387</v>
      </c>
      <c r="C35">
        <f>IFERROR(INDEX(Census_pop_2020_2025!H:H, MATCH("."&amp;$A35, Census_pop_2020_2025!A:A, 0)),INDEX(Census_pop_2020_2025!H:H, MATCH($A35, Census_pop_2020_2025!A:A, 0)))</f>
        <v>799358</v>
      </c>
      <c r="D35">
        <f>(IFERROR(INDEX(Census_pop_2020_2025!H:H, MATCH("."&amp;$A35, Census_pop_2020_2025!A:A, 0)),INDEX(Census_pop_2020_2025!H:H, MATCH($A35, Census_pop_2020_2025!A:A, 0))))+0.2*((INDEX(Cooper_pop_2030_2050!D:D, MATCH($A35, Cooper_pop_2030_2050!B:B, 0)))-(IFERROR(INDEX(Census_pop_2020_2025!H:H, MATCH("."&amp;$A35, Census_pop_2020_2025!A:A, 0)),INDEX(Census_pop_2020_2025!H:H, MATCH($A35, Census_pop_2020_2025!A:A, 0)))))</f>
        <v>812967.09674237389</v>
      </c>
      <c r="E35">
        <f>(IFERROR(INDEX(Census_pop_2020_2025!H:H, MATCH("."&amp;$A35, Census_pop_2020_2025!A:A, 0)),INDEX(Census_pop_2020_2025!H:H, MATCH($A35, Census_pop_2020_2025!A:A, 0))))+0.4*((INDEX(Cooper_pop_2030_2050!D:D, MATCH($A35, Cooper_pop_2030_2050!B:B, 0)))-(IFERROR(INDEX(Census_pop_2020_2025!H:H, MATCH("."&amp;$A35, Census_pop_2020_2025!A:A, 0)),INDEX(Census_pop_2020_2025!H:H, MATCH($A35, Census_pop_2020_2025!A:A, 0)))))</f>
        <v>826576.19348474778</v>
      </c>
      <c r="F35">
        <f>(IFERROR(INDEX(Census_pop_2020_2025!H:H, MATCH("."&amp;$A35, Census_pop_2020_2025!A:A, 0)),INDEX(Census_pop_2020_2025!H:H, MATCH($A35, Census_pop_2020_2025!A:A, 0))))+0.6*((INDEX(Cooper_pop_2030_2050!D:D, MATCH($A35, Cooper_pop_2030_2050!B:B, 0)))-(IFERROR(INDEX(Census_pop_2020_2025!H:H, MATCH("."&amp;$A35, Census_pop_2020_2025!A:A, 0)),INDEX(Census_pop_2020_2025!H:H, MATCH($A35, Census_pop_2020_2025!A:A, 0)))))</f>
        <v>840185.29022712167</v>
      </c>
      <c r="G35">
        <f>(IFERROR(INDEX(Census_pop_2020_2025!H:H, MATCH("."&amp;$A35, Census_pop_2020_2025!A:A, 0)),INDEX(Census_pop_2020_2025!H:H, MATCH($A35, Census_pop_2020_2025!A:A, 0))))+0.8*((INDEX(Cooper_pop_2030_2050!D:D, MATCH($A35, Cooper_pop_2030_2050!B:B, 0)))-(IFERROR(INDEX(Census_pop_2020_2025!H:H, MATCH("."&amp;$A35, Census_pop_2020_2025!A:A, 0)),INDEX(Census_pop_2020_2025!H:H, MATCH($A35, Census_pop_2020_2025!A:A, 0)))))</f>
        <v>853794.38696949556</v>
      </c>
      <c r="H35">
        <f>INDEX(Cooper_pop_2030_2050!D:D, MATCH($A35, Cooper_pop_2030_2050!B:B, 0))</f>
        <v>867403.48371186946</v>
      </c>
      <c r="I35">
        <f>(INDEX(Cooper_pop_2030_2050!D:D, MATCH($A35, Cooper_pop_2030_2050!B:B, 0)))+0.1*((INDEX(Cooper_pop_2030_2050!E:E, MATCH($A35, Cooper_pop_2030_2050!B:B, 0)))-(INDEX(Cooper_pop_2030_2050!D:D, MATCH($A35, Cooper_pop_2030_2050!B:B, 0))))</f>
        <v>877265.13029874838</v>
      </c>
      <c r="J35">
        <f>(INDEX(Cooper_pop_2030_2050!D:D, MATCH($A35, Cooper_pop_2030_2050!B:B, 0)))+0.2*((INDEX(Cooper_pop_2030_2050!E:E, MATCH($A35, Cooper_pop_2030_2050!B:B, 0)))-(INDEX(Cooper_pop_2030_2050!D:D, MATCH($A35, Cooper_pop_2030_2050!B:B, 0))))</f>
        <v>887126.7768856273</v>
      </c>
      <c r="K35">
        <f>(INDEX(Cooper_pop_2030_2050!D:D, MATCH($A35, Cooper_pop_2030_2050!B:B, 0)))+0.3*((INDEX(Cooper_pop_2030_2050!E:E, MATCH($A35, Cooper_pop_2030_2050!B:B, 0)))-(INDEX(Cooper_pop_2030_2050!D:D, MATCH($A35, Cooper_pop_2030_2050!B:B, 0))))</f>
        <v>896988.42347250634</v>
      </c>
      <c r="L35">
        <f>(INDEX(Cooper_pop_2030_2050!D:D, MATCH($A35, Cooper_pop_2030_2050!B:B, 0)))+0.4*((INDEX(Cooper_pop_2030_2050!E:E, MATCH($A35, Cooper_pop_2030_2050!B:B, 0)))-(INDEX(Cooper_pop_2030_2050!D:D, MATCH($A35, Cooper_pop_2030_2050!B:B, 0))))</f>
        <v>906850.07005938527</v>
      </c>
      <c r="M35">
        <f>(INDEX(Cooper_pop_2030_2050!D:D, MATCH($A35, Cooper_pop_2030_2050!B:B, 0)))+0.5*((INDEX(Cooper_pop_2030_2050!E:E, MATCH($A35, Cooper_pop_2030_2050!B:B, 0)))-(INDEX(Cooper_pop_2030_2050!D:D, MATCH($A35, Cooper_pop_2030_2050!B:B, 0))))</f>
        <v>916711.71664626419</v>
      </c>
      <c r="N35">
        <f>(INDEX(Cooper_pop_2030_2050!D:D, MATCH($A35, Cooper_pop_2030_2050!B:B, 0)))+0.6*((INDEX(Cooper_pop_2030_2050!E:E, MATCH($A35, Cooper_pop_2030_2050!B:B, 0)))-(INDEX(Cooper_pop_2030_2050!D:D, MATCH($A35, Cooper_pop_2030_2050!B:B, 0))))</f>
        <v>926573.36323314311</v>
      </c>
      <c r="O35">
        <f>(INDEX(Cooper_pop_2030_2050!D:D, MATCH($A35, Cooper_pop_2030_2050!B:B, 0)))+0.7*((INDEX(Cooper_pop_2030_2050!E:E, MATCH($A35, Cooper_pop_2030_2050!B:B, 0)))-(INDEX(Cooper_pop_2030_2050!D:D, MATCH($A35, Cooper_pop_2030_2050!B:B, 0))))</f>
        <v>936435.00982002204</v>
      </c>
      <c r="P35">
        <f>(INDEX(Cooper_pop_2030_2050!D:D, MATCH($A35, Cooper_pop_2030_2050!B:B, 0)))+0.8*((INDEX(Cooper_pop_2030_2050!E:E, MATCH($A35, Cooper_pop_2030_2050!B:B, 0)))-(INDEX(Cooper_pop_2030_2050!D:D, MATCH($A35, Cooper_pop_2030_2050!B:B, 0))))</f>
        <v>946296.65640690108</v>
      </c>
      <c r="Q35">
        <f>(INDEX(Cooper_pop_2030_2050!D:D, MATCH($A35, Cooper_pop_2030_2050!B:B, 0)))+0.9*((INDEX(Cooper_pop_2030_2050!E:E, MATCH($A35, Cooper_pop_2030_2050!B:B, 0)))-(INDEX(Cooper_pop_2030_2050!D:D, MATCH($A35, Cooper_pop_2030_2050!B:B, 0))))</f>
        <v>956158.30299378</v>
      </c>
      <c r="R35">
        <f>INDEX(Cooper_pop_2030_2050!E:E, MATCH($A35, Cooper_pop_2030_2050!B:B, 0))</f>
        <v>966019.94958065893</v>
      </c>
      <c r="S35">
        <f>(INDEX(Cooper_pop_2030_2050!E:E, MATCH($A35, Cooper_pop_2030_2050!B:B, 0)))+0.1*((INDEX(Cooper_pop_2030_2050!F:F, MATCH($A35, Cooper_pop_2030_2050!B:B, 0)))-(INDEX(Cooper_pop_2030_2050!E:E, MATCH($A35, Cooper_pop_2030_2050!B:B, 0))))</f>
        <v>975742.11432720209</v>
      </c>
      <c r="T35">
        <f>(INDEX(Cooper_pop_2030_2050!E:E, MATCH($A35, Cooper_pop_2030_2050!B:B, 0)))+0.2*((INDEX(Cooper_pop_2030_2050!F:F, MATCH($A35, Cooper_pop_2030_2050!B:B, 0)))-(INDEX(Cooper_pop_2030_2050!E:E, MATCH($A35, Cooper_pop_2030_2050!B:B, 0))))</f>
        <v>985464.27907374536</v>
      </c>
      <c r="U35">
        <f>(INDEX(Cooper_pop_2030_2050!E:E, MATCH($A35, Cooper_pop_2030_2050!B:B, 0)))+0.3*((INDEX(Cooper_pop_2030_2050!F:F, MATCH($A35, Cooper_pop_2030_2050!B:B, 0)))-(INDEX(Cooper_pop_2030_2050!E:E, MATCH($A35, Cooper_pop_2030_2050!B:B, 0))))</f>
        <v>995186.44382028852</v>
      </c>
      <c r="V35">
        <f>(INDEX(Cooper_pop_2030_2050!E:E, MATCH($A35, Cooper_pop_2030_2050!B:B, 0)))+0.4*((INDEX(Cooper_pop_2030_2050!F:F, MATCH($A35, Cooper_pop_2030_2050!B:B, 0)))-(INDEX(Cooper_pop_2030_2050!E:E, MATCH($A35, Cooper_pop_2030_2050!B:B, 0))))</f>
        <v>1004908.6085668318</v>
      </c>
      <c r="W35">
        <f>(INDEX(Cooper_pop_2030_2050!E:E, MATCH($A35, Cooper_pop_2030_2050!B:B, 0)))+0.5*((INDEX(Cooper_pop_2030_2050!F:F, MATCH($A35, Cooper_pop_2030_2050!B:B, 0)))-(INDEX(Cooper_pop_2030_2050!E:E, MATCH($A35, Cooper_pop_2030_2050!B:B, 0))))</f>
        <v>1014630.773313375</v>
      </c>
      <c r="X35">
        <f>(INDEX(Cooper_pop_2030_2050!E:E, MATCH($A35, Cooper_pop_2030_2050!B:B, 0)))+0.6*((INDEX(Cooper_pop_2030_2050!F:F, MATCH($A35, Cooper_pop_2030_2050!B:B, 0)))-(INDEX(Cooper_pop_2030_2050!E:E, MATCH($A35, Cooper_pop_2030_2050!B:B, 0))))</f>
        <v>1024352.9380599181</v>
      </c>
      <c r="Y35">
        <f>(INDEX(Cooper_pop_2030_2050!E:E, MATCH($A35, Cooper_pop_2030_2050!B:B, 0)))+0.7*((INDEX(Cooper_pop_2030_2050!F:F, MATCH($A35, Cooper_pop_2030_2050!B:B, 0)))-(INDEX(Cooper_pop_2030_2050!E:E, MATCH($A35, Cooper_pop_2030_2050!B:B, 0))))</f>
        <v>1034075.1028064614</v>
      </c>
      <c r="Z35">
        <f>(INDEX(Cooper_pop_2030_2050!E:E, MATCH($A35, Cooper_pop_2030_2050!B:B, 0)))+0.8*((INDEX(Cooper_pop_2030_2050!F:F, MATCH($A35, Cooper_pop_2030_2050!B:B, 0)))-(INDEX(Cooper_pop_2030_2050!E:E, MATCH($A35, Cooper_pop_2030_2050!B:B, 0))))</f>
        <v>1043797.2675530046</v>
      </c>
      <c r="AA35">
        <f>(INDEX(Cooper_pop_2030_2050!E:E, MATCH($A35, Cooper_pop_2030_2050!B:B, 0)))+0.9*((INDEX(Cooper_pop_2030_2050!F:F, MATCH($A35, Cooper_pop_2030_2050!B:B, 0)))-(INDEX(Cooper_pop_2030_2050!E:E, MATCH($A35, Cooper_pop_2030_2050!B:B, 0))))</f>
        <v>1053519.4322995478</v>
      </c>
      <c r="AB35">
        <f>INDEX(Cooper_pop_2030_2050!F:F, MATCH($A35, Cooper_pop_2030_2050!B:B, 0))</f>
        <v>1063241.597046091</v>
      </c>
    </row>
    <row r="36" spans="1:28">
      <c r="A36" t="s">
        <v>2920</v>
      </c>
      <c r="B36">
        <f>IFERROR(INDEX(Census_pop_2020_2025!G:G, MATCH("."&amp;$A36, Census_pop_2020_2025!A:A, 0)),INDEX(Census_pop_2020_2025!G:G, MATCH($A36, Census_pop_2020_2025!A:A, 0)))</f>
        <v>11860621</v>
      </c>
      <c r="C36">
        <f>IFERROR(INDEX(Census_pop_2020_2025!H:H, MATCH("."&amp;$A36, Census_pop_2020_2025!A:A, 0)),INDEX(Census_pop_2020_2025!H:H, MATCH($A36, Census_pop_2020_2025!A:A, 0)))</f>
        <v>11900510</v>
      </c>
      <c r="D36">
        <f>(IFERROR(INDEX(Census_pop_2020_2025!H:H, MATCH("."&amp;$A36, Census_pop_2020_2025!A:A, 0)),INDEX(Census_pop_2020_2025!H:H, MATCH($A36, Census_pop_2020_2025!A:A, 0))))+0.2*((INDEX(Cooper_pop_2030_2050!D:D, MATCH($A36, Cooper_pop_2030_2050!B:B, 0)))-(IFERROR(INDEX(Census_pop_2020_2025!H:H, MATCH("."&amp;$A36, Census_pop_2020_2025!A:A, 0)),INDEX(Census_pop_2020_2025!H:H, MATCH($A36, Census_pop_2020_2025!A:A, 0)))))</f>
        <v>11920338.511083635</v>
      </c>
      <c r="E36">
        <f>(IFERROR(INDEX(Census_pop_2020_2025!H:H, MATCH("."&amp;$A36, Census_pop_2020_2025!A:A, 0)),INDEX(Census_pop_2020_2025!H:H, MATCH($A36, Census_pop_2020_2025!A:A, 0))))+0.4*((INDEX(Cooper_pop_2030_2050!D:D, MATCH($A36, Cooper_pop_2030_2050!B:B, 0)))-(IFERROR(INDEX(Census_pop_2020_2025!H:H, MATCH("."&amp;$A36, Census_pop_2020_2025!A:A, 0)),INDEX(Census_pop_2020_2025!H:H, MATCH($A36, Census_pop_2020_2025!A:A, 0)))))</f>
        <v>11940167.022167267</v>
      </c>
      <c r="F36">
        <f>(IFERROR(INDEX(Census_pop_2020_2025!H:H, MATCH("."&amp;$A36, Census_pop_2020_2025!A:A, 0)),INDEX(Census_pop_2020_2025!H:H, MATCH($A36, Census_pop_2020_2025!A:A, 0))))+0.6*((INDEX(Cooper_pop_2030_2050!D:D, MATCH($A36, Cooper_pop_2030_2050!B:B, 0)))-(IFERROR(INDEX(Census_pop_2020_2025!H:H, MATCH("."&amp;$A36, Census_pop_2020_2025!A:A, 0)),INDEX(Census_pop_2020_2025!H:H, MATCH($A36, Census_pop_2020_2025!A:A, 0)))))</f>
        <v>11959995.533250902</v>
      </c>
      <c r="G36">
        <f>(IFERROR(INDEX(Census_pop_2020_2025!H:H, MATCH("."&amp;$A36, Census_pop_2020_2025!A:A, 0)),INDEX(Census_pop_2020_2025!H:H, MATCH($A36, Census_pop_2020_2025!A:A, 0))))+0.8*((INDEX(Cooper_pop_2030_2050!D:D, MATCH($A36, Cooper_pop_2030_2050!B:B, 0)))-(IFERROR(INDEX(Census_pop_2020_2025!H:H, MATCH("."&amp;$A36, Census_pop_2020_2025!A:A, 0)),INDEX(Census_pop_2020_2025!H:H, MATCH($A36, Census_pop_2020_2025!A:A, 0)))))</f>
        <v>11979824.044334535</v>
      </c>
      <c r="H36">
        <f>INDEX(Cooper_pop_2030_2050!D:D, MATCH($A36, Cooper_pop_2030_2050!B:B, 0))</f>
        <v>11999652.555418169</v>
      </c>
      <c r="I36">
        <f>(INDEX(Cooper_pop_2030_2050!D:D, MATCH($A36, Cooper_pop_2030_2050!B:B, 0)))+0.1*((INDEX(Cooper_pop_2030_2050!E:E, MATCH($A36, Cooper_pop_2030_2050!B:B, 0)))-(INDEX(Cooper_pop_2030_2050!D:D, MATCH($A36, Cooper_pop_2030_2050!B:B, 0))))</f>
        <v>11979688.003463157</v>
      </c>
      <c r="J36">
        <f>(INDEX(Cooper_pop_2030_2050!D:D, MATCH($A36, Cooper_pop_2030_2050!B:B, 0)))+0.2*((INDEX(Cooper_pop_2030_2050!E:E, MATCH($A36, Cooper_pop_2030_2050!B:B, 0)))-(INDEX(Cooper_pop_2030_2050!D:D, MATCH($A36, Cooper_pop_2030_2050!B:B, 0))))</f>
        <v>11959723.451508144</v>
      </c>
      <c r="K36">
        <f>(INDEX(Cooper_pop_2030_2050!D:D, MATCH($A36, Cooper_pop_2030_2050!B:B, 0)))+0.3*((INDEX(Cooper_pop_2030_2050!E:E, MATCH($A36, Cooper_pop_2030_2050!B:B, 0)))-(INDEX(Cooper_pop_2030_2050!D:D, MATCH($A36, Cooper_pop_2030_2050!B:B, 0))))</f>
        <v>11939758.899553129</v>
      </c>
      <c r="L36">
        <f>(INDEX(Cooper_pop_2030_2050!D:D, MATCH($A36, Cooper_pop_2030_2050!B:B, 0)))+0.4*((INDEX(Cooper_pop_2030_2050!E:E, MATCH($A36, Cooper_pop_2030_2050!B:B, 0)))-(INDEX(Cooper_pop_2030_2050!D:D, MATCH($A36, Cooper_pop_2030_2050!B:B, 0))))</f>
        <v>11919794.347598117</v>
      </c>
      <c r="M36">
        <f>(INDEX(Cooper_pop_2030_2050!D:D, MATCH($A36, Cooper_pop_2030_2050!B:B, 0)))+0.5*((INDEX(Cooper_pop_2030_2050!E:E, MATCH($A36, Cooper_pop_2030_2050!B:B, 0)))-(INDEX(Cooper_pop_2030_2050!D:D, MATCH($A36, Cooper_pop_2030_2050!B:B, 0))))</f>
        <v>11899829.795643104</v>
      </c>
      <c r="N36">
        <f>(INDEX(Cooper_pop_2030_2050!D:D, MATCH($A36, Cooper_pop_2030_2050!B:B, 0)))+0.6*((INDEX(Cooper_pop_2030_2050!E:E, MATCH($A36, Cooper_pop_2030_2050!B:B, 0)))-(INDEX(Cooper_pop_2030_2050!D:D, MATCH($A36, Cooper_pop_2030_2050!B:B, 0))))</f>
        <v>11879865.243688092</v>
      </c>
      <c r="O36">
        <f>(INDEX(Cooper_pop_2030_2050!D:D, MATCH($A36, Cooper_pop_2030_2050!B:B, 0)))+0.7*((INDEX(Cooper_pop_2030_2050!E:E, MATCH($A36, Cooper_pop_2030_2050!B:B, 0)))-(INDEX(Cooper_pop_2030_2050!D:D, MATCH($A36, Cooper_pop_2030_2050!B:B, 0))))</f>
        <v>11859900.691733079</v>
      </c>
      <c r="P36">
        <f>(INDEX(Cooper_pop_2030_2050!D:D, MATCH($A36, Cooper_pop_2030_2050!B:B, 0)))+0.8*((INDEX(Cooper_pop_2030_2050!E:E, MATCH($A36, Cooper_pop_2030_2050!B:B, 0)))-(INDEX(Cooper_pop_2030_2050!D:D, MATCH($A36, Cooper_pop_2030_2050!B:B, 0))))</f>
        <v>11839936.139778065</v>
      </c>
      <c r="Q36">
        <f>(INDEX(Cooper_pop_2030_2050!D:D, MATCH($A36, Cooper_pop_2030_2050!B:B, 0)))+0.9*((INDEX(Cooper_pop_2030_2050!E:E, MATCH($A36, Cooper_pop_2030_2050!B:B, 0)))-(INDEX(Cooper_pop_2030_2050!D:D, MATCH($A36, Cooper_pop_2030_2050!B:B, 0))))</f>
        <v>11819971.587823052</v>
      </c>
      <c r="R36">
        <f>INDEX(Cooper_pop_2030_2050!E:E, MATCH($A36, Cooper_pop_2030_2050!B:B, 0))</f>
        <v>11800007.035868039</v>
      </c>
      <c r="S36">
        <f>(INDEX(Cooper_pop_2030_2050!E:E, MATCH($A36, Cooper_pop_2030_2050!B:B, 0)))+0.1*((INDEX(Cooper_pop_2030_2050!F:F, MATCH($A36, Cooper_pop_2030_2050!B:B, 0)))-(INDEX(Cooper_pop_2030_2050!E:E, MATCH($A36, Cooper_pop_2030_2050!B:B, 0))))</f>
        <v>11766777.569740733</v>
      </c>
      <c r="T36">
        <f>(INDEX(Cooper_pop_2030_2050!E:E, MATCH($A36, Cooper_pop_2030_2050!B:B, 0)))+0.2*((INDEX(Cooper_pop_2030_2050!F:F, MATCH($A36, Cooper_pop_2030_2050!B:B, 0)))-(INDEX(Cooper_pop_2030_2050!E:E, MATCH($A36, Cooper_pop_2030_2050!B:B, 0))))</f>
        <v>11733548.103613427</v>
      </c>
      <c r="U36">
        <f>(INDEX(Cooper_pop_2030_2050!E:E, MATCH($A36, Cooper_pop_2030_2050!B:B, 0)))+0.3*((INDEX(Cooper_pop_2030_2050!F:F, MATCH($A36, Cooper_pop_2030_2050!B:B, 0)))-(INDEX(Cooper_pop_2030_2050!E:E, MATCH($A36, Cooper_pop_2030_2050!B:B, 0))))</f>
        <v>11700318.637486123</v>
      </c>
      <c r="V36">
        <f>(INDEX(Cooper_pop_2030_2050!E:E, MATCH($A36, Cooper_pop_2030_2050!B:B, 0)))+0.4*((INDEX(Cooper_pop_2030_2050!F:F, MATCH($A36, Cooper_pop_2030_2050!B:B, 0)))-(INDEX(Cooper_pop_2030_2050!E:E, MATCH($A36, Cooper_pop_2030_2050!B:B, 0))))</f>
        <v>11667089.171358816</v>
      </c>
      <c r="W36">
        <f>(INDEX(Cooper_pop_2030_2050!E:E, MATCH($A36, Cooper_pop_2030_2050!B:B, 0)))+0.5*((INDEX(Cooper_pop_2030_2050!F:F, MATCH($A36, Cooper_pop_2030_2050!B:B, 0)))-(INDEX(Cooper_pop_2030_2050!E:E, MATCH($A36, Cooper_pop_2030_2050!B:B, 0))))</f>
        <v>11633859.70523151</v>
      </c>
      <c r="X36">
        <f>(INDEX(Cooper_pop_2030_2050!E:E, MATCH($A36, Cooper_pop_2030_2050!B:B, 0)))+0.6*((INDEX(Cooper_pop_2030_2050!F:F, MATCH($A36, Cooper_pop_2030_2050!B:B, 0)))-(INDEX(Cooper_pop_2030_2050!E:E, MATCH($A36, Cooper_pop_2030_2050!B:B, 0))))</f>
        <v>11600630.239104204</v>
      </c>
      <c r="Y36">
        <f>(INDEX(Cooper_pop_2030_2050!E:E, MATCH($A36, Cooper_pop_2030_2050!B:B, 0)))+0.7*((INDEX(Cooper_pop_2030_2050!F:F, MATCH($A36, Cooper_pop_2030_2050!B:B, 0)))-(INDEX(Cooper_pop_2030_2050!E:E, MATCH($A36, Cooper_pop_2030_2050!B:B, 0))))</f>
        <v>11567400.772976898</v>
      </c>
      <c r="Z36">
        <f>(INDEX(Cooper_pop_2030_2050!E:E, MATCH($A36, Cooper_pop_2030_2050!B:B, 0)))+0.8*((INDEX(Cooper_pop_2030_2050!F:F, MATCH($A36, Cooper_pop_2030_2050!B:B, 0)))-(INDEX(Cooper_pop_2030_2050!E:E, MATCH($A36, Cooper_pop_2030_2050!B:B, 0))))</f>
        <v>11534171.306849593</v>
      </c>
      <c r="AA36">
        <f>(INDEX(Cooper_pop_2030_2050!E:E, MATCH($A36, Cooper_pop_2030_2050!B:B, 0)))+0.9*((INDEX(Cooper_pop_2030_2050!F:F, MATCH($A36, Cooper_pop_2030_2050!B:B, 0)))-(INDEX(Cooper_pop_2030_2050!E:E, MATCH($A36, Cooper_pop_2030_2050!B:B, 0))))</f>
        <v>11500941.840722287</v>
      </c>
      <c r="AB36">
        <f>INDEX(Cooper_pop_2030_2050!F:F, MATCH($A36, Cooper_pop_2030_2050!B:B, 0))</f>
        <v>11467712.374594981</v>
      </c>
    </row>
    <row r="37" spans="1:28">
      <c r="A37" t="s">
        <v>2921</v>
      </c>
      <c r="B37">
        <f>IFERROR(INDEX(Census_pop_2020_2025!G:G, MATCH("."&amp;$A37, Census_pop_2020_2025!A:A, 0)),INDEX(Census_pop_2020_2025!G:G, MATCH($A37, Census_pop_2020_2025!A:A, 0)))</f>
        <v>4097758</v>
      </c>
      <c r="C37">
        <f>IFERROR(INDEX(Census_pop_2020_2025!H:H, MATCH("."&amp;$A37, Census_pop_2020_2025!A:A, 0)),INDEX(Census_pop_2020_2025!H:H, MATCH($A37, Census_pop_2020_2025!A:A, 0)))</f>
        <v>4123288</v>
      </c>
      <c r="D37">
        <f>(IFERROR(INDEX(Census_pop_2020_2025!H:H, MATCH("."&amp;$A37, Census_pop_2020_2025!A:A, 0)),INDEX(Census_pop_2020_2025!H:H, MATCH($A37, Census_pop_2020_2025!A:A, 0))))+0.2*((INDEX(Cooper_pop_2030_2050!D:D, MATCH($A37, Cooper_pop_2030_2050!B:B, 0)))-(IFERROR(INDEX(Census_pop_2020_2025!H:H, MATCH("."&amp;$A37, Census_pop_2020_2025!A:A, 0)),INDEX(Census_pop_2020_2025!H:H, MATCH($A37, Census_pop_2020_2025!A:A, 0)))))</f>
        <v>4122854.6133530829</v>
      </c>
      <c r="E37">
        <f>(IFERROR(INDEX(Census_pop_2020_2025!H:H, MATCH("."&amp;$A37, Census_pop_2020_2025!A:A, 0)),INDEX(Census_pop_2020_2025!H:H, MATCH($A37, Census_pop_2020_2025!A:A, 0))))+0.4*((INDEX(Cooper_pop_2030_2050!D:D, MATCH($A37, Cooper_pop_2030_2050!B:B, 0)))-(IFERROR(INDEX(Census_pop_2020_2025!H:H, MATCH("."&amp;$A37, Census_pop_2020_2025!A:A, 0)),INDEX(Census_pop_2020_2025!H:H, MATCH($A37, Census_pop_2020_2025!A:A, 0)))))</f>
        <v>4122421.2267061658</v>
      </c>
      <c r="F37">
        <f>(IFERROR(INDEX(Census_pop_2020_2025!H:H, MATCH("."&amp;$A37, Census_pop_2020_2025!A:A, 0)),INDEX(Census_pop_2020_2025!H:H, MATCH($A37, Census_pop_2020_2025!A:A, 0))))+0.6*((INDEX(Cooper_pop_2030_2050!D:D, MATCH($A37, Cooper_pop_2030_2050!B:B, 0)))-(IFERROR(INDEX(Census_pop_2020_2025!H:H, MATCH("."&amp;$A37, Census_pop_2020_2025!A:A, 0)),INDEX(Census_pop_2020_2025!H:H, MATCH($A37, Census_pop_2020_2025!A:A, 0)))))</f>
        <v>4121987.8400592483</v>
      </c>
      <c r="G37">
        <f>(IFERROR(INDEX(Census_pop_2020_2025!H:H, MATCH("."&amp;$A37, Census_pop_2020_2025!A:A, 0)),INDEX(Census_pop_2020_2025!H:H, MATCH($A37, Census_pop_2020_2025!A:A, 0))))+0.8*((INDEX(Cooper_pop_2030_2050!D:D, MATCH($A37, Cooper_pop_2030_2050!B:B, 0)))-(IFERROR(INDEX(Census_pop_2020_2025!H:H, MATCH("."&amp;$A37, Census_pop_2020_2025!A:A, 0)),INDEX(Census_pop_2020_2025!H:H, MATCH($A37, Census_pop_2020_2025!A:A, 0)))))</f>
        <v>4121554.4534123312</v>
      </c>
      <c r="H37">
        <f>INDEX(Cooper_pop_2030_2050!D:D, MATCH($A37, Cooper_pop_2030_2050!B:B, 0))</f>
        <v>4121121.0667654141</v>
      </c>
      <c r="I37">
        <f>(INDEX(Cooper_pop_2030_2050!D:D, MATCH($A37, Cooper_pop_2030_2050!B:B, 0)))+0.1*((INDEX(Cooper_pop_2030_2050!E:E, MATCH($A37, Cooper_pop_2030_2050!B:B, 0)))-(INDEX(Cooper_pop_2030_2050!D:D, MATCH($A37, Cooper_pop_2030_2050!B:B, 0))))</f>
        <v>4127203.1745436024</v>
      </c>
      <c r="J37">
        <f>(INDEX(Cooper_pop_2030_2050!D:D, MATCH($A37, Cooper_pop_2030_2050!B:B, 0)))+0.2*((INDEX(Cooper_pop_2030_2050!E:E, MATCH($A37, Cooper_pop_2030_2050!B:B, 0)))-(INDEX(Cooper_pop_2030_2050!D:D, MATCH($A37, Cooper_pop_2030_2050!B:B, 0))))</f>
        <v>4133285.2823217902</v>
      </c>
      <c r="K37">
        <f>(INDEX(Cooper_pop_2030_2050!D:D, MATCH($A37, Cooper_pop_2030_2050!B:B, 0)))+0.3*((INDEX(Cooper_pop_2030_2050!E:E, MATCH($A37, Cooper_pop_2030_2050!B:B, 0)))-(INDEX(Cooper_pop_2030_2050!D:D, MATCH($A37, Cooper_pop_2030_2050!B:B, 0))))</f>
        <v>4139367.3900999781</v>
      </c>
      <c r="L37">
        <f>(INDEX(Cooper_pop_2030_2050!D:D, MATCH($A37, Cooper_pop_2030_2050!B:B, 0)))+0.4*((INDEX(Cooper_pop_2030_2050!E:E, MATCH($A37, Cooper_pop_2030_2050!B:B, 0)))-(INDEX(Cooper_pop_2030_2050!D:D, MATCH($A37, Cooper_pop_2030_2050!B:B, 0))))</f>
        <v>4145449.4978781664</v>
      </c>
      <c r="M37">
        <f>(INDEX(Cooper_pop_2030_2050!D:D, MATCH($A37, Cooper_pop_2030_2050!B:B, 0)))+0.5*((INDEX(Cooper_pop_2030_2050!E:E, MATCH($A37, Cooper_pop_2030_2050!B:B, 0)))-(INDEX(Cooper_pop_2030_2050!D:D, MATCH($A37, Cooper_pop_2030_2050!B:B, 0))))</f>
        <v>4151531.6056563547</v>
      </c>
      <c r="N37">
        <f>(INDEX(Cooper_pop_2030_2050!D:D, MATCH($A37, Cooper_pop_2030_2050!B:B, 0)))+0.6*((INDEX(Cooper_pop_2030_2050!E:E, MATCH($A37, Cooper_pop_2030_2050!B:B, 0)))-(INDEX(Cooper_pop_2030_2050!D:D, MATCH($A37, Cooper_pop_2030_2050!B:B, 0))))</f>
        <v>4157613.7134345425</v>
      </c>
      <c r="O37">
        <f>(INDEX(Cooper_pop_2030_2050!D:D, MATCH($A37, Cooper_pop_2030_2050!B:B, 0)))+0.7*((INDEX(Cooper_pop_2030_2050!E:E, MATCH($A37, Cooper_pop_2030_2050!B:B, 0)))-(INDEX(Cooper_pop_2030_2050!D:D, MATCH($A37, Cooper_pop_2030_2050!B:B, 0))))</f>
        <v>4163695.8212127304</v>
      </c>
      <c r="P37">
        <f>(INDEX(Cooper_pop_2030_2050!D:D, MATCH($A37, Cooper_pop_2030_2050!B:B, 0)))+0.8*((INDEX(Cooper_pop_2030_2050!E:E, MATCH($A37, Cooper_pop_2030_2050!B:B, 0)))-(INDEX(Cooper_pop_2030_2050!D:D, MATCH($A37, Cooper_pop_2030_2050!B:B, 0))))</f>
        <v>4169777.9289909187</v>
      </c>
      <c r="Q37">
        <f>(INDEX(Cooper_pop_2030_2050!D:D, MATCH($A37, Cooper_pop_2030_2050!B:B, 0)))+0.9*((INDEX(Cooper_pop_2030_2050!E:E, MATCH($A37, Cooper_pop_2030_2050!B:B, 0)))-(INDEX(Cooper_pop_2030_2050!D:D, MATCH($A37, Cooper_pop_2030_2050!B:B, 0))))</f>
        <v>4175860.036769107</v>
      </c>
      <c r="R37">
        <f>INDEX(Cooper_pop_2030_2050!E:E, MATCH($A37, Cooper_pop_2030_2050!B:B, 0))</f>
        <v>4181942.1445472948</v>
      </c>
      <c r="S37">
        <f>(INDEX(Cooper_pop_2030_2050!E:E, MATCH($A37, Cooper_pop_2030_2050!B:B, 0)))+0.1*((INDEX(Cooper_pop_2030_2050!F:F, MATCH($A37, Cooper_pop_2030_2050!B:B, 0)))-(INDEX(Cooper_pop_2030_2050!E:E, MATCH($A37, Cooper_pop_2030_2050!B:B, 0))))</f>
        <v>4183141.3362607127</v>
      </c>
      <c r="T37">
        <f>(INDEX(Cooper_pop_2030_2050!E:E, MATCH($A37, Cooper_pop_2030_2050!B:B, 0)))+0.2*((INDEX(Cooper_pop_2030_2050!F:F, MATCH($A37, Cooper_pop_2030_2050!B:B, 0)))-(INDEX(Cooper_pop_2030_2050!E:E, MATCH($A37, Cooper_pop_2030_2050!B:B, 0))))</f>
        <v>4184340.5279741311</v>
      </c>
      <c r="U37">
        <f>(INDEX(Cooper_pop_2030_2050!E:E, MATCH($A37, Cooper_pop_2030_2050!B:B, 0)))+0.3*((INDEX(Cooper_pop_2030_2050!F:F, MATCH($A37, Cooper_pop_2030_2050!B:B, 0)))-(INDEX(Cooper_pop_2030_2050!E:E, MATCH($A37, Cooper_pop_2030_2050!B:B, 0))))</f>
        <v>4185539.7196875489</v>
      </c>
      <c r="V37">
        <f>(INDEX(Cooper_pop_2030_2050!E:E, MATCH($A37, Cooper_pop_2030_2050!B:B, 0)))+0.4*((INDEX(Cooper_pop_2030_2050!F:F, MATCH($A37, Cooper_pop_2030_2050!B:B, 0)))-(INDEX(Cooper_pop_2030_2050!E:E, MATCH($A37, Cooper_pop_2030_2050!B:B, 0))))</f>
        <v>4186738.9114009668</v>
      </c>
      <c r="W37">
        <f>(INDEX(Cooper_pop_2030_2050!E:E, MATCH($A37, Cooper_pop_2030_2050!B:B, 0)))+0.5*((INDEX(Cooper_pop_2030_2050!F:F, MATCH($A37, Cooper_pop_2030_2050!B:B, 0)))-(INDEX(Cooper_pop_2030_2050!E:E, MATCH($A37, Cooper_pop_2030_2050!B:B, 0))))</f>
        <v>4187938.1031143852</v>
      </c>
      <c r="X37">
        <f>(INDEX(Cooper_pop_2030_2050!E:E, MATCH($A37, Cooper_pop_2030_2050!B:B, 0)))+0.6*((INDEX(Cooper_pop_2030_2050!F:F, MATCH($A37, Cooper_pop_2030_2050!B:B, 0)))-(INDEX(Cooper_pop_2030_2050!E:E, MATCH($A37, Cooper_pop_2030_2050!B:B, 0))))</f>
        <v>4189137.294827803</v>
      </c>
      <c r="Y37">
        <f>(INDEX(Cooper_pop_2030_2050!E:E, MATCH($A37, Cooper_pop_2030_2050!B:B, 0)))+0.7*((INDEX(Cooper_pop_2030_2050!F:F, MATCH($A37, Cooper_pop_2030_2050!B:B, 0)))-(INDEX(Cooper_pop_2030_2050!E:E, MATCH($A37, Cooper_pop_2030_2050!B:B, 0))))</f>
        <v>4190336.4865412209</v>
      </c>
      <c r="Z37">
        <f>(INDEX(Cooper_pop_2030_2050!E:E, MATCH($A37, Cooper_pop_2030_2050!B:B, 0)))+0.8*((INDEX(Cooper_pop_2030_2050!F:F, MATCH($A37, Cooper_pop_2030_2050!B:B, 0)))-(INDEX(Cooper_pop_2030_2050!E:E, MATCH($A37, Cooper_pop_2030_2050!B:B, 0))))</f>
        <v>4191535.6782546388</v>
      </c>
      <c r="AA37">
        <f>(INDEX(Cooper_pop_2030_2050!E:E, MATCH($A37, Cooper_pop_2030_2050!B:B, 0)))+0.9*((INDEX(Cooper_pop_2030_2050!F:F, MATCH($A37, Cooper_pop_2030_2050!B:B, 0)))-(INDEX(Cooper_pop_2030_2050!E:E, MATCH($A37, Cooper_pop_2030_2050!B:B, 0))))</f>
        <v>4192734.8699680571</v>
      </c>
      <c r="AB37">
        <f>INDEX(Cooper_pop_2030_2050!F:F, MATCH($A37, Cooper_pop_2030_2050!B:B, 0))</f>
        <v>4193934.061681475</v>
      </c>
    </row>
    <row r="38" spans="1:28">
      <c r="A38" t="s">
        <v>2922</v>
      </c>
      <c r="B38">
        <f>IFERROR(INDEX(Census_pop_2020_2025!G:G, MATCH("."&amp;$A38, Census_pop_2020_2025!A:A, 0)),INDEX(Census_pop_2020_2025!G:G, MATCH($A38, Census_pop_2020_2025!A:A, 0)))</f>
        <v>4265324</v>
      </c>
      <c r="C38">
        <f>IFERROR(INDEX(Census_pop_2020_2025!H:H, MATCH("."&amp;$A38, Census_pop_2020_2025!A:A, 0)),INDEX(Census_pop_2020_2025!H:H, MATCH($A38, Census_pop_2020_2025!A:A, 0)))</f>
        <v>4273586</v>
      </c>
      <c r="D38">
        <f>(IFERROR(INDEX(Census_pop_2020_2025!H:H, MATCH("."&amp;$A38, Census_pop_2020_2025!A:A, 0)),INDEX(Census_pop_2020_2025!H:H, MATCH($A38, Census_pop_2020_2025!A:A, 0))))+0.2*((INDEX(Cooper_pop_2030_2050!D:D, MATCH($A38, Cooper_pop_2030_2050!B:B, 0)))-(IFERROR(INDEX(Census_pop_2020_2025!H:H, MATCH("."&amp;$A38, Census_pop_2020_2025!A:A, 0)),INDEX(Census_pop_2020_2025!H:H, MATCH($A38, Census_pop_2020_2025!A:A, 0)))))</f>
        <v>4331553.7638564538</v>
      </c>
      <c r="E38">
        <f>(IFERROR(INDEX(Census_pop_2020_2025!H:H, MATCH("."&amp;$A38, Census_pop_2020_2025!A:A, 0)),INDEX(Census_pop_2020_2025!H:H, MATCH($A38, Census_pop_2020_2025!A:A, 0))))+0.4*((INDEX(Cooper_pop_2030_2050!D:D, MATCH($A38, Cooper_pop_2030_2050!B:B, 0)))-(IFERROR(INDEX(Census_pop_2020_2025!H:H, MATCH("."&amp;$A38, Census_pop_2020_2025!A:A, 0)),INDEX(Census_pop_2020_2025!H:H, MATCH($A38, Census_pop_2020_2025!A:A, 0)))))</f>
        <v>4389521.5277129076</v>
      </c>
      <c r="F38">
        <f>(IFERROR(INDEX(Census_pop_2020_2025!H:H, MATCH("."&amp;$A38, Census_pop_2020_2025!A:A, 0)),INDEX(Census_pop_2020_2025!H:H, MATCH($A38, Census_pop_2020_2025!A:A, 0))))+0.6*((INDEX(Cooper_pop_2030_2050!D:D, MATCH($A38, Cooper_pop_2030_2050!B:B, 0)))-(IFERROR(INDEX(Census_pop_2020_2025!H:H, MATCH("."&amp;$A38, Census_pop_2020_2025!A:A, 0)),INDEX(Census_pop_2020_2025!H:H, MATCH($A38, Census_pop_2020_2025!A:A, 0)))))</f>
        <v>4447489.2915693615</v>
      </c>
      <c r="G38">
        <f>(IFERROR(INDEX(Census_pop_2020_2025!H:H, MATCH("."&amp;$A38, Census_pop_2020_2025!A:A, 0)),INDEX(Census_pop_2020_2025!H:H, MATCH($A38, Census_pop_2020_2025!A:A, 0))))+0.8*((INDEX(Cooper_pop_2030_2050!D:D, MATCH($A38, Cooper_pop_2030_2050!B:B, 0)))-(IFERROR(INDEX(Census_pop_2020_2025!H:H, MATCH("."&amp;$A38, Census_pop_2020_2025!A:A, 0)),INDEX(Census_pop_2020_2025!H:H, MATCH($A38, Census_pop_2020_2025!A:A, 0)))))</f>
        <v>4505457.0554258153</v>
      </c>
      <c r="H38">
        <f>INDEX(Cooper_pop_2030_2050!D:D, MATCH($A38, Cooper_pop_2030_2050!B:B, 0))</f>
        <v>4563424.8192822691</v>
      </c>
      <c r="I38">
        <f>(INDEX(Cooper_pop_2030_2050!D:D, MATCH($A38, Cooper_pop_2030_2050!B:B, 0)))+0.1*((INDEX(Cooper_pop_2030_2050!E:E, MATCH($A38, Cooper_pop_2030_2050!B:B, 0)))-(INDEX(Cooper_pop_2030_2050!D:D, MATCH($A38, Cooper_pop_2030_2050!B:B, 0))))</f>
        <v>4592349.8168511949</v>
      </c>
      <c r="J38">
        <f>(INDEX(Cooper_pop_2030_2050!D:D, MATCH($A38, Cooper_pop_2030_2050!B:B, 0)))+0.2*((INDEX(Cooper_pop_2030_2050!E:E, MATCH($A38, Cooper_pop_2030_2050!B:B, 0)))-(INDEX(Cooper_pop_2030_2050!D:D, MATCH($A38, Cooper_pop_2030_2050!B:B, 0))))</f>
        <v>4621274.8144201208</v>
      </c>
      <c r="K38">
        <f>(INDEX(Cooper_pop_2030_2050!D:D, MATCH($A38, Cooper_pop_2030_2050!B:B, 0)))+0.3*((INDEX(Cooper_pop_2030_2050!E:E, MATCH($A38, Cooper_pop_2030_2050!B:B, 0)))-(INDEX(Cooper_pop_2030_2050!D:D, MATCH($A38, Cooper_pop_2030_2050!B:B, 0))))</f>
        <v>4650199.8119890466</v>
      </c>
      <c r="L38">
        <f>(INDEX(Cooper_pop_2030_2050!D:D, MATCH($A38, Cooper_pop_2030_2050!B:B, 0)))+0.4*((INDEX(Cooper_pop_2030_2050!E:E, MATCH($A38, Cooper_pop_2030_2050!B:B, 0)))-(INDEX(Cooper_pop_2030_2050!D:D, MATCH($A38, Cooper_pop_2030_2050!B:B, 0))))</f>
        <v>4679124.8095579725</v>
      </c>
      <c r="M38">
        <f>(INDEX(Cooper_pop_2030_2050!D:D, MATCH($A38, Cooper_pop_2030_2050!B:B, 0)))+0.5*((INDEX(Cooper_pop_2030_2050!E:E, MATCH($A38, Cooper_pop_2030_2050!B:B, 0)))-(INDEX(Cooper_pop_2030_2050!D:D, MATCH($A38, Cooper_pop_2030_2050!B:B, 0))))</f>
        <v>4708049.8071268983</v>
      </c>
      <c r="N38">
        <f>(INDEX(Cooper_pop_2030_2050!D:D, MATCH($A38, Cooper_pop_2030_2050!B:B, 0)))+0.6*((INDEX(Cooper_pop_2030_2050!E:E, MATCH($A38, Cooper_pop_2030_2050!B:B, 0)))-(INDEX(Cooper_pop_2030_2050!D:D, MATCH($A38, Cooper_pop_2030_2050!B:B, 0))))</f>
        <v>4736974.8046958251</v>
      </c>
      <c r="O38">
        <f>(INDEX(Cooper_pop_2030_2050!D:D, MATCH($A38, Cooper_pop_2030_2050!B:B, 0)))+0.7*((INDEX(Cooper_pop_2030_2050!E:E, MATCH($A38, Cooper_pop_2030_2050!B:B, 0)))-(INDEX(Cooper_pop_2030_2050!D:D, MATCH($A38, Cooper_pop_2030_2050!B:B, 0))))</f>
        <v>4765899.8022647509</v>
      </c>
      <c r="P38">
        <f>(INDEX(Cooper_pop_2030_2050!D:D, MATCH($A38, Cooper_pop_2030_2050!B:B, 0)))+0.8*((INDEX(Cooper_pop_2030_2050!E:E, MATCH($A38, Cooper_pop_2030_2050!B:B, 0)))-(INDEX(Cooper_pop_2030_2050!D:D, MATCH($A38, Cooper_pop_2030_2050!B:B, 0))))</f>
        <v>4794824.7998336768</v>
      </c>
      <c r="Q38">
        <f>(INDEX(Cooper_pop_2030_2050!D:D, MATCH($A38, Cooper_pop_2030_2050!B:B, 0)))+0.9*((INDEX(Cooper_pop_2030_2050!E:E, MATCH($A38, Cooper_pop_2030_2050!B:B, 0)))-(INDEX(Cooper_pop_2030_2050!D:D, MATCH($A38, Cooper_pop_2030_2050!B:B, 0))))</f>
        <v>4823749.7974026026</v>
      </c>
      <c r="R38">
        <f>INDEX(Cooper_pop_2030_2050!E:E, MATCH($A38, Cooper_pop_2030_2050!B:B, 0))</f>
        <v>4852674.7949715285</v>
      </c>
      <c r="S38">
        <f>(INDEX(Cooper_pop_2030_2050!E:E, MATCH($A38, Cooper_pop_2030_2050!B:B, 0)))+0.1*((INDEX(Cooper_pop_2030_2050!F:F, MATCH($A38, Cooper_pop_2030_2050!B:B, 0)))-(INDEX(Cooper_pop_2030_2050!E:E, MATCH($A38, Cooper_pop_2030_2050!B:B, 0))))</f>
        <v>4877386.4482708871</v>
      </c>
      <c r="T38">
        <f>(INDEX(Cooper_pop_2030_2050!E:E, MATCH($A38, Cooper_pop_2030_2050!B:B, 0)))+0.2*((INDEX(Cooper_pop_2030_2050!F:F, MATCH($A38, Cooper_pop_2030_2050!B:B, 0)))-(INDEX(Cooper_pop_2030_2050!E:E, MATCH($A38, Cooper_pop_2030_2050!B:B, 0))))</f>
        <v>4902098.1015702467</v>
      </c>
      <c r="U38">
        <f>(INDEX(Cooper_pop_2030_2050!E:E, MATCH($A38, Cooper_pop_2030_2050!B:B, 0)))+0.3*((INDEX(Cooper_pop_2030_2050!F:F, MATCH($A38, Cooper_pop_2030_2050!B:B, 0)))-(INDEX(Cooper_pop_2030_2050!E:E, MATCH($A38, Cooper_pop_2030_2050!B:B, 0))))</f>
        <v>4926809.7548696054</v>
      </c>
      <c r="V38">
        <f>(INDEX(Cooper_pop_2030_2050!E:E, MATCH($A38, Cooper_pop_2030_2050!B:B, 0)))+0.4*((INDEX(Cooper_pop_2030_2050!F:F, MATCH($A38, Cooper_pop_2030_2050!B:B, 0)))-(INDEX(Cooper_pop_2030_2050!E:E, MATCH($A38, Cooper_pop_2030_2050!B:B, 0))))</f>
        <v>4951521.408168965</v>
      </c>
      <c r="W38">
        <f>(INDEX(Cooper_pop_2030_2050!E:E, MATCH($A38, Cooper_pop_2030_2050!B:B, 0)))+0.5*((INDEX(Cooper_pop_2030_2050!F:F, MATCH($A38, Cooper_pop_2030_2050!B:B, 0)))-(INDEX(Cooper_pop_2030_2050!E:E, MATCH($A38, Cooper_pop_2030_2050!B:B, 0))))</f>
        <v>4976233.0614683237</v>
      </c>
      <c r="X38">
        <f>(INDEX(Cooper_pop_2030_2050!E:E, MATCH($A38, Cooper_pop_2030_2050!B:B, 0)))+0.6*((INDEX(Cooper_pop_2030_2050!F:F, MATCH($A38, Cooper_pop_2030_2050!B:B, 0)))-(INDEX(Cooper_pop_2030_2050!E:E, MATCH($A38, Cooper_pop_2030_2050!B:B, 0))))</f>
        <v>5000944.7147676824</v>
      </c>
      <c r="Y38">
        <f>(INDEX(Cooper_pop_2030_2050!E:E, MATCH($A38, Cooper_pop_2030_2050!B:B, 0)))+0.7*((INDEX(Cooper_pop_2030_2050!F:F, MATCH($A38, Cooper_pop_2030_2050!B:B, 0)))-(INDEX(Cooper_pop_2030_2050!E:E, MATCH($A38, Cooper_pop_2030_2050!B:B, 0))))</f>
        <v>5025656.368067042</v>
      </c>
      <c r="Z38">
        <f>(INDEX(Cooper_pop_2030_2050!E:E, MATCH($A38, Cooper_pop_2030_2050!B:B, 0)))+0.8*((INDEX(Cooper_pop_2030_2050!F:F, MATCH($A38, Cooper_pop_2030_2050!B:B, 0)))-(INDEX(Cooper_pop_2030_2050!E:E, MATCH($A38, Cooper_pop_2030_2050!B:B, 0))))</f>
        <v>5050368.0213664006</v>
      </c>
      <c r="AA38">
        <f>(INDEX(Cooper_pop_2030_2050!E:E, MATCH($A38, Cooper_pop_2030_2050!B:B, 0)))+0.9*((INDEX(Cooper_pop_2030_2050!F:F, MATCH($A38, Cooper_pop_2030_2050!B:B, 0)))-(INDEX(Cooper_pop_2030_2050!E:E, MATCH($A38, Cooper_pop_2030_2050!B:B, 0))))</f>
        <v>5075079.6746657602</v>
      </c>
      <c r="AB38">
        <f>INDEX(Cooper_pop_2030_2050!F:F, MATCH($A38, Cooper_pop_2030_2050!B:B, 0))</f>
        <v>5099791.3279651189</v>
      </c>
    </row>
    <row r="39" spans="1:28">
      <c r="A39" t="s">
        <v>2923</v>
      </c>
      <c r="B39">
        <f>IFERROR(INDEX(Census_pop_2020_2025!G:G, MATCH("."&amp;$A39, Census_pop_2020_2025!A:A, 0)),INDEX(Census_pop_2020_2025!G:G, MATCH($A39, Census_pop_2020_2025!A:A, 0)))</f>
        <v>13045848</v>
      </c>
      <c r="C39">
        <f>IFERROR(INDEX(Census_pop_2020_2025!H:H, MATCH("."&amp;$A39, Census_pop_2020_2025!A:A, 0)),INDEX(Census_pop_2020_2025!H:H, MATCH($A39, Census_pop_2020_2025!A:A, 0)))</f>
        <v>13059432</v>
      </c>
      <c r="D39">
        <f>(IFERROR(INDEX(Census_pop_2020_2025!H:H, MATCH("."&amp;$A39, Census_pop_2020_2025!A:A, 0)),INDEX(Census_pop_2020_2025!H:H, MATCH($A39, Census_pop_2020_2025!A:A, 0))))+0.2*((INDEX(Cooper_pop_2030_2050!D:D, MATCH($A39, Cooper_pop_2030_2050!B:B, 0)))-(IFERROR(INDEX(Census_pop_2020_2025!H:H, MATCH("."&amp;$A39, Census_pop_2020_2025!A:A, 0)),INDEX(Census_pop_2020_2025!H:H, MATCH($A39, Census_pop_2020_2025!A:A, 0)))))</f>
        <v>13093843.795756318</v>
      </c>
      <c r="E39">
        <f>(IFERROR(INDEX(Census_pop_2020_2025!H:H, MATCH("."&amp;$A39, Census_pop_2020_2025!A:A, 0)),INDEX(Census_pop_2020_2025!H:H, MATCH($A39, Census_pop_2020_2025!A:A, 0))))+0.4*((INDEX(Cooper_pop_2030_2050!D:D, MATCH($A39, Cooper_pop_2030_2050!B:B, 0)))-(IFERROR(INDEX(Census_pop_2020_2025!H:H, MATCH("."&amp;$A39, Census_pop_2020_2025!A:A, 0)),INDEX(Census_pop_2020_2025!H:H, MATCH($A39, Census_pop_2020_2025!A:A, 0)))))</f>
        <v>13128255.591512635</v>
      </c>
      <c r="F39">
        <f>(IFERROR(INDEX(Census_pop_2020_2025!H:H, MATCH("."&amp;$A39, Census_pop_2020_2025!A:A, 0)),INDEX(Census_pop_2020_2025!H:H, MATCH($A39, Census_pop_2020_2025!A:A, 0))))+0.6*((INDEX(Cooper_pop_2030_2050!D:D, MATCH($A39, Cooper_pop_2030_2050!B:B, 0)))-(IFERROR(INDEX(Census_pop_2020_2025!H:H, MATCH("."&amp;$A39, Census_pop_2020_2025!A:A, 0)),INDEX(Census_pop_2020_2025!H:H, MATCH($A39, Census_pop_2020_2025!A:A, 0)))))</f>
        <v>13162667.387268955</v>
      </c>
      <c r="G39">
        <f>(IFERROR(INDEX(Census_pop_2020_2025!H:H, MATCH("."&amp;$A39, Census_pop_2020_2025!A:A, 0)),INDEX(Census_pop_2020_2025!H:H, MATCH($A39, Census_pop_2020_2025!A:A, 0))))+0.8*((INDEX(Cooper_pop_2030_2050!D:D, MATCH($A39, Cooper_pop_2030_2050!B:B, 0)))-(IFERROR(INDEX(Census_pop_2020_2025!H:H, MATCH("."&amp;$A39, Census_pop_2020_2025!A:A, 0)),INDEX(Census_pop_2020_2025!H:H, MATCH($A39, Census_pop_2020_2025!A:A, 0)))))</f>
        <v>13197079.183025273</v>
      </c>
      <c r="H39">
        <f>INDEX(Cooper_pop_2030_2050!D:D, MATCH($A39, Cooper_pop_2030_2050!B:B, 0))</f>
        <v>13231490.97878159</v>
      </c>
      <c r="I39">
        <f>(INDEX(Cooper_pop_2030_2050!D:D, MATCH($A39, Cooper_pop_2030_2050!B:B, 0)))+0.1*((INDEX(Cooper_pop_2030_2050!E:E, MATCH($A39, Cooper_pop_2030_2050!B:B, 0)))-(INDEX(Cooper_pop_2030_2050!D:D, MATCH($A39, Cooper_pop_2030_2050!B:B, 0))))</f>
        <v>13210558.957400743</v>
      </c>
      <c r="J39">
        <f>(INDEX(Cooper_pop_2030_2050!D:D, MATCH($A39, Cooper_pop_2030_2050!B:B, 0)))+0.2*((INDEX(Cooper_pop_2030_2050!E:E, MATCH($A39, Cooper_pop_2030_2050!B:B, 0)))-(INDEX(Cooper_pop_2030_2050!D:D, MATCH($A39, Cooper_pop_2030_2050!B:B, 0))))</f>
        <v>13189626.936019894</v>
      </c>
      <c r="K39">
        <f>(INDEX(Cooper_pop_2030_2050!D:D, MATCH($A39, Cooper_pop_2030_2050!B:B, 0)))+0.3*((INDEX(Cooper_pop_2030_2050!E:E, MATCH($A39, Cooper_pop_2030_2050!B:B, 0)))-(INDEX(Cooper_pop_2030_2050!D:D, MATCH($A39, Cooper_pop_2030_2050!B:B, 0))))</f>
        <v>13168694.914639046</v>
      </c>
      <c r="L39">
        <f>(INDEX(Cooper_pop_2030_2050!D:D, MATCH($A39, Cooper_pop_2030_2050!B:B, 0)))+0.4*((INDEX(Cooper_pop_2030_2050!E:E, MATCH($A39, Cooper_pop_2030_2050!B:B, 0)))-(INDEX(Cooper_pop_2030_2050!D:D, MATCH($A39, Cooper_pop_2030_2050!B:B, 0))))</f>
        <v>13147762.893258197</v>
      </c>
      <c r="M39">
        <f>(INDEX(Cooper_pop_2030_2050!D:D, MATCH($A39, Cooper_pop_2030_2050!B:B, 0)))+0.5*((INDEX(Cooper_pop_2030_2050!E:E, MATCH($A39, Cooper_pop_2030_2050!B:B, 0)))-(INDEX(Cooper_pop_2030_2050!D:D, MATCH($A39, Cooper_pop_2030_2050!B:B, 0))))</f>
        <v>13126830.87187735</v>
      </c>
      <c r="N39">
        <f>(INDEX(Cooper_pop_2030_2050!D:D, MATCH($A39, Cooper_pop_2030_2050!B:B, 0)))+0.6*((INDEX(Cooper_pop_2030_2050!E:E, MATCH($A39, Cooper_pop_2030_2050!B:B, 0)))-(INDEX(Cooper_pop_2030_2050!D:D, MATCH($A39, Cooper_pop_2030_2050!B:B, 0))))</f>
        <v>13105898.850496503</v>
      </c>
      <c r="O39">
        <f>(INDEX(Cooper_pop_2030_2050!D:D, MATCH($A39, Cooper_pop_2030_2050!B:B, 0)))+0.7*((INDEX(Cooper_pop_2030_2050!E:E, MATCH($A39, Cooper_pop_2030_2050!B:B, 0)))-(INDEX(Cooper_pop_2030_2050!D:D, MATCH($A39, Cooper_pop_2030_2050!B:B, 0))))</f>
        <v>13084966.829115653</v>
      </c>
      <c r="P39">
        <f>(INDEX(Cooper_pop_2030_2050!D:D, MATCH($A39, Cooper_pop_2030_2050!B:B, 0)))+0.8*((INDEX(Cooper_pop_2030_2050!E:E, MATCH($A39, Cooper_pop_2030_2050!B:B, 0)))-(INDEX(Cooper_pop_2030_2050!D:D, MATCH($A39, Cooper_pop_2030_2050!B:B, 0))))</f>
        <v>13064034.807734806</v>
      </c>
      <c r="Q39">
        <f>(INDEX(Cooper_pop_2030_2050!D:D, MATCH($A39, Cooper_pop_2030_2050!B:B, 0)))+0.9*((INDEX(Cooper_pop_2030_2050!E:E, MATCH($A39, Cooper_pop_2030_2050!B:B, 0)))-(INDEX(Cooper_pop_2030_2050!D:D, MATCH($A39, Cooper_pop_2030_2050!B:B, 0))))</f>
        <v>13043102.786353957</v>
      </c>
      <c r="R39">
        <f>INDEX(Cooper_pop_2030_2050!E:E, MATCH($A39, Cooper_pop_2030_2050!B:B, 0))</f>
        <v>13022170.76497311</v>
      </c>
      <c r="S39">
        <f>(INDEX(Cooper_pop_2030_2050!E:E, MATCH($A39, Cooper_pop_2030_2050!B:B, 0)))+0.1*((INDEX(Cooper_pop_2030_2050!F:F, MATCH($A39, Cooper_pop_2030_2050!B:B, 0)))-(INDEX(Cooper_pop_2030_2050!E:E, MATCH($A39, Cooper_pop_2030_2050!B:B, 0))))</f>
        <v>12986552.038261678</v>
      </c>
      <c r="T39">
        <f>(INDEX(Cooper_pop_2030_2050!E:E, MATCH($A39, Cooper_pop_2030_2050!B:B, 0)))+0.2*((INDEX(Cooper_pop_2030_2050!F:F, MATCH($A39, Cooper_pop_2030_2050!B:B, 0)))-(INDEX(Cooper_pop_2030_2050!E:E, MATCH($A39, Cooper_pop_2030_2050!B:B, 0))))</f>
        <v>12950933.311550247</v>
      </c>
      <c r="U39">
        <f>(INDEX(Cooper_pop_2030_2050!E:E, MATCH($A39, Cooper_pop_2030_2050!B:B, 0)))+0.3*((INDEX(Cooper_pop_2030_2050!F:F, MATCH($A39, Cooper_pop_2030_2050!B:B, 0)))-(INDEX(Cooper_pop_2030_2050!E:E, MATCH($A39, Cooper_pop_2030_2050!B:B, 0))))</f>
        <v>12915314.584838813</v>
      </c>
      <c r="V39">
        <f>(INDEX(Cooper_pop_2030_2050!E:E, MATCH($A39, Cooper_pop_2030_2050!B:B, 0)))+0.4*((INDEX(Cooper_pop_2030_2050!F:F, MATCH($A39, Cooper_pop_2030_2050!B:B, 0)))-(INDEX(Cooper_pop_2030_2050!E:E, MATCH($A39, Cooper_pop_2030_2050!B:B, 0))))</f>
        <v>12879695.858127382</v>
      </c>
      <c r="W39">
        <f>(INDEX(Cooper_pop_2030_2050!E:E, MATCH($A39, Cooper_pop_2030_2050!B:B, 0)))+0.5*((INDEX(Cooper_pop_2030_2050!F:F, MATCH($A39, Cooper_pop_2030_2050!B:B, 0)))-(INDEX(Cooper_pop_2030_2050!E:E, MATCH($A39, Cooper_pop_2030_2050!B:B, 0))))</f>
        <v>12844077.13141595</v>
      </c>
      <c r="X39">
        <f>(INDEX(Cooper_pop_2030_2050!E:E, MATCH($A39, Cooper_pop_2030_2050!B:B, 0)))+0.6*((INDEX(Cooper_pop_2030_2050!F:F, MATCH($A39, Cooper_pop_2030_2050!B:B, 0)))-(INDEX(Cooper_pop_2030_2050!E:E, MATCH($A39, Cooper_pop_2030_2050!B:B, 0))))</f>
        <v>12808458.404704519</v>
      </c>
      <c r="Y39">
        <f>(INDEX(Cooper_pop_2030_2050!E:E, MATCH($A39, Cooper_pop_2030_2050!B:B, 0)))+0.7*((INDEX(Cooper_pop_2030_2050!F:F, MATCH($A39, Cooper_pop_2030_2050!B:B, 0)))-(INDEX(Cooper_pop_2030_2050!E:E, MATCH($A39, Cooper_pop_2030_2050!B:B, 0))))</f>
        <v>12772839.677993087</v>
      </c>
      <c r="Z39">
        <f>(INDEX(Cooper_pop_2030_2050!E:E, MATCH($A39, Cooper_pop_2030_2050!B:B, 0)))+0.8*((INDEX(Cooper_pop_2030_2050!F:F, MATCH($A39, Cooper_pop_2030_2050!B:B, 0)))-(INDEX(Cooper_pop_2030_2050!E:E, MATCH($A39, Cooper_pop_2030_2050!B:B, 0))))</f>
        <v>12737220.951281654</v>
      </c>
      <c r="AA39">
        <f>(INDEX(Cooper_pop_2030_2050!E:E, MATCH($A39, Cooper_pop_2030_2050!B:B, 0)))+0.9*((INDEX(Cooper_pop_2030_2050!F:F, MATCH($A39, Cooper_pop_2030_2050!B:B, 0)))-(INDEX(Cooper_pop_2030_2050!E:E, MATCH($A39, Cooper_pop_2030_2050!B:B, 0))))</f>
        <v>12701602.224570222</v>
      </c>
      <c r="AB39">
        <f>INDEX(Cooper_pop_2030_2050!F:F, MATCH($A39, Cooper_pop_2030_2050!B:B, 0))</f>
        <v>12665983.497858791</v>
      </c>
    </row>
    <row r="40" spans="1:28">
      <c r="A40" t="s">
        <v>2924</v>
      </c>
      <c r="B40">
        <f>IFERROR(INDEX(Census_pop_2020_2025!G:G, MATCH("."&amp;$A40, Census_pop_2020_2025!A:A, 0)),INDEX(Census_pop_2020_2025!G:G, MATCH($A40, Census_pop_2020_2025!A:A, 0)))</f>
        <v>1110415</v>
      </c>
      <c r="C40">
        <f>IFERROR(INDEX(Census_pop_2020_2025!H:H, MATCH("."&amp;$A40, Census_pop_2020_2025!A:A, 0)),INDEX(Census_pop_2020_2025!H:H, MATCH($A40, Census_pop_2020_2025!A:A, 0)))</f>
        <v>1114521</v>
      </c>
      <c r="D40">
        <f>(IFERROR(INDEX(Census_pop_2020_2025!H:H, MATCH("."&amp;$A40, Census_pop_2020_2025!A:A, 0)),INDEX(Census_pop_2020_2025!H:H, MATCH($A40, Census_pop_2020_2025!A:A, 0))))+0.2*((INDEX(Cooper_pop_2030_2050!D:D, MATCH($A40, Cooper_pop_2030_2050!B:B, 0)))-(IFERROR(INDEX(Census_pop_2020_2025!H:H, MATCH("."&amp;$A40, Census_pop_2020_2025!A:A, 0)),INDEX(Census_pop_2020_2025!H:H, MATCH($A40, Census_pop_2020_2025!A:A, 0)))))</f>
        <v>1118005.1826621965</v>
      </c>
      <c r="E40">
        <f>(IFERROR(INDEX(Census_pop_2020_2025!H:H, MATCH("."&amp;$A40, Census_pop_2020_2025!A:A, 0)),INDEX(Census_pop_2020_2025!H:H, MATCH($A40, Census_pop_2020_2025!A:A, 0))))+0.4*((INDEX(Cooper_pop_2030_2050!D:D, MATCH($A40, Cooper_pop_2030_2050!B:B, 0)))-(IFERROR(INDEX(Census_pop_2020_2025!H:H, MATCH("."&amp;$A40, Census_pop_2020_2025!A:A, 0)),INDEX(Census_pop_2020_2025!H:H, MATCH($A40, Census_pop_2020_2025!A:A, 0)))))</f>
        <v>1121489.3653243929</v>
      </c>
      <c r="F40">
        <f>(IFERROR(INDEX(Census_pop_2020_2025!H:H, MATCH("."&amp;$A40, Census_pop_2020_2025!A:A, 0)),INDEX(Census_pop_2020_2025!H:H, MATCH($A40, Census_pop_2020_2025!A:A, 0))))+0.6*((INDEX(Cooper_pop_2030_2050!D:D, MATCH($A40, Cooper_pop_2030_2050!B:B, 0)))-(IFERROR(INDEX(Census_pop_2020_2025!H:H, MATCH("."&amp;$A40, Census_pop_2020_2025!A:A, 0)),INDEX(Census_pop_2020_2025!H:H, MATCH($A40, Census_pop_2020_2025!A:A, 0)))))</f>
        <v>1124973.5479865891</v>
      </c>
      <c r="G40">
        <f>(IFERROR(INDEX(Census_pop_2020_2025!H:H, MATCH("."&amp;$A40, Census_pop_2020_2025!A:A, 0)),INDEX(Census_pop_2020_2025!H:H, MATCH($A40, Census_pop_2020_2025!A:A, 0))))+0.8*((INDEX(Cooper_pop_2030_2050!D:D, MATCH($A40, Cooper_pop_2030_2050!B:B, 0)))-(IFERROR(INDEX(Census_pop_2020_2025!H:H, MATCH("."&amp;$A40, Census_pop_2020_2025!A:A, 0)),INDEX(Census_pop_2020_2025!H:H, MATCH($A40, Census_pop_2020_2025!A:A, 0)))))</f>
        <v>1128457.7306487856</v>
      </c>
      <c r="H40">
        <f>INDEX(Cooper_pop_2030_2050!D:D, MATCH($A40, Cooper_pop_2030_2050!B:B, 0))</f>
        <v>1131941.9133109821</v>
      </c>
      <c r="I40">
        <f>(INDEX(Cooper_pop_2030_2050!D:D, MATCH($A40, Cooper_pop_2030_2050!B:B, 0)))+0.1*((INDEX(Cooper_pop_2030_2050!E:E, MATCH($A40, Cooper_pop_2030_2050!B:B, 0)))-(INDEX(Cooper_pop_2030_2050!D:D, MATCH($A40, Cooper_pop_2030_2050!B:B, 0))))</f>
        <v>1132211.4794184815</v>
      </c>
      <c r="J40">
        <f>(INDEX(Cooper_pop_2030_2050!D:D, MATCH($A40, Cooper_pop_2030_2050!B:B, 0)))+0.2*((INDEX(Cooper_pop_2030_2050!E:E, MATCH($A40, Cooper_pop_2030_2050!B:B, 0)))-(INDEX(Cooper_pop_2030_2050!D:D, MATCH($A40, Cooper_pop_2030_2050!B:B, 0))))</f>
        <v>1132481.0455259811</v>
      </c>
      <c r="K40">
        <f>(INDEX(Cooper_pop_2030_2050!D:D, MATCH($A40, Cooper_pop_2030_2050!B:B, 0)))+0.3*((INDEX(Cooper_pop_2030_2050!E:E, MATCH($A40, Cooper_pop_2030_2050!B:B, 0)))-(INDEX(Cooper_pop_2030_2050!D:D, MATCH($A40, Cooper_pop_2030_2050!B:B, 0))))</f>
        <v>1132750.6116334805</v>
      </c>
      <c r="L40">
        <f>(INDEX(Cooper_pop_2030_2050!D:D, MATCH($A40, Cooper_pop_2030_2050!B:B, 0)))+0.4*((INDEX(Cooper_pop_2030_2050!E:E, MATCH($A40, Cooper_pop_2030_2050!B:B, 0)))-(INDEX(Cooper_pop_2030_2050!D:D, MATCH($A40, Cooper_pop_2030_2050!B:B, 0))))</f>
        <v>1133020.1777409799</v>
      </c>
      <c r="M40">
        <f>(INDEX(Cooper_pop_2030_2050!D:D, MATCH($A40, Cooper_pop_2030_2050!B:B, 0)))+0.5*((INDEX(Cooper_pop_2030_2050!E:E, MATCH($A40, Cooper_pop_2030_2050!B:B, 0)))-(INDEX(Cooper_pop_2030_2050!D:D, MATCH($A40, Cooper_pop_2030_2050!B:B, 0))))</f>
        <v>1133289.7438484794</v>
      </c>
      <c r="N40">
        <f>(INDEX(Cooper_pop_2030_2050!D:D, MATCH($A40, Cooper_pop_2030_2050!B:B, 0)))+0.6*((INDEX(Cooper_pop_2030_2050!E:E, MATCH($A40, Cooper_pop_2030_2050!B:B, 0)))-(INDEX(Cooper_pop_2030_2050!D:D, MATCH($A40, Cooper_pop_2030_2050!B:B, 0))))</f>
        <v>1133559.309955979</v>
      </c>
      <c r="O40">
        <f>(INDEX(Cooper_pop_2030_2050!D:D, MATCH($A40, Cooper_pop_2030_2050!B:B, 0)))+0.7*((INDEX(Cooper_pop_2030_2050!E:E, MATCH($A40, Cooper_pop_2030_2050!B:B, 0)))-(INDEX(Cooper_pop_2030_2050!D:D, MATCH($A40, Cooper_pop_2030_2050!B:B, 0))))</f>
        <v>1133828.8760634784</v>
      </c>
      <c r="P40">
        <f>(INDEX(Cooper_pop_2030_2050!D:D, MATCH($A40, Cooper_pop_2030_2050!B:B, 0)))+0.8*((INDEX(Cooper_pop_2030_2050!E:E, MATCH($A40, Cooper_pop_2030_2050!B:B, 0)))-(INDEX(Cooper_pop_2030_2050!D:D, MATCH($A40, Cooper_pop_2030_2050!B:B, 0))))</f>
        <v>1134098.4421709778</v>
      </c>
      <c r="Q40">
        <f>(INDEX(Cooper_pop_2030_2050!D:D, MATCH($A40, Cooper_pop_2030_2050!B:B, 0)))+0.9*((INDEX(Cooper_pop_2030_2050!E:E, MATCH($A40, Cooper_pop_2030_2050!B:B, 0)))-(INDEX(Cooper_pop_2030_2050!D:D, MATCH($A40, Cooper_pop_2030_2050!B:B, 0))))</f>
        <v>1134368.0082784775</v>
      </c>
      <c r="R40">
        <f>INDEX(Cooper_pop_2030_2050!E:E, MATCH($A40, Cooper_pop_2030_2050!B:B, 0))</f>
        <v>1134637.5743859769</v>
      </c>
      <c r="S40">
        <f>(INDEX(Cooper_pop_2030_2050!E:E, MATCH($A40, Cooper_pop_2030_2050!B:B, 0)))+0.1*((INDEX(Cooper_pop_2030_2050!F:F, MATCH($A40, Cooper_pop_2030_2050!B:B, 0)))-(INDEX(Cooper_pop_2030_2050!E:E, MATCH($A40, Cooper_pop_2030_2050!B:B, 0))))</f>
        <v>1133575.0595401202</v>
      </c>
      <c r="T40">
        <f>(INDEX(Cooper_pop_2030_2050!E:E, MATCH($A40, Cooper_pop_2030_2050!B:B, 0)))+0.2*((INDEX(Cooper_pop_2030_2050!F:F, MATCH($A40, Cooper_pop_2030_2050!B:B, 0)))-(INDEX(Cooper_pop_2030_2050!E:E, MATCH($A40, Cooper_pop_2030_2050!B:B, 0))))</f>
        <v>1132512.5446942633</v>
      </c>
      <c r="U40">
        <f>(INDEX(Cooper_pop_2030_2050!E:E, MATCH($A40, Cooper_pop_2030_2050!B:B, 0)))+0.3*((INDEX(Cooper_pop_2030_2050!F:F, MATCH($A40, Cooper_pop_2030_2050!B:B, 0)))-(INDEX(Cooper_pop_2030_2050!E:E, MATCH($A40, Cooper_pop_2030_2050!B:B, 0))))</f>
        <v>1131450.0298484066</v>
      </c>
      <c r="V40">
        <f>(INDEX(Cooper_pop_2030_2050!E:E, MATCH($A40, Cooper_pop_2030_2050!B:B, 0)))+0.4*((INDEX(Cooper_pop_2030_2050!F:F, MATCH($A40, Cooper_pop_2030_2050!B:B, 0)))-(INDEX(Cooper_pop_2030_2050!E:E, MATCH($A40, Cooper_pop_2030_2050!B:B, 0))))</f>
        <v>1130387.5150025496</v>
      </c>
      <c r="W40">
        <f>(INDEX(Cooper_pop_2030_2050!E:E, MATCH($A40, Cooper_pop_2030_2050!B:B, 0)))+0.5*((INDEX(Cooper_pop_2030_2050!F:F, MATCH($A40, Cooper_pop_2030_2050!B:B, 0)))-(INDEX(Cooper_pop_2030_2050!E:E, MATCH($A40, Cooper_pop_2030_2050!B:B, 0))))</f>
        <v>1129325.0001566929</v>
      </c>
      <c r="X40">
        <f>(INDEX(Cooper_pop_2030_2050!E:E, MATCH($A40, Cooper_pop_2030_2050!B:B, 0)))+0.6*((INDEX(Cooper_pop_2030_2050!F:F, MATCH($A40, Cooper_pop_2030_2050!B:B, 0)))-(INDEX(Cooper_pop_2030_2050!E:E, MATCH($A40, Cooper_pop_2030_2050!B:B, 0))))</f>
        <v>1128262.4853108362</v>
      </c>
      <c r="Y40">
        <f>(INDEX(Cooper_pop_2030_2050!E:E, MATCH($A40, Cooper_pop_2030_2050!B:B, 0)))+0.7*((INDEX(Cooper_pop_2030_2050!F:F, MATCH($A40, Cooper_pop_2030_2050!B:B, 0)))-(INDEX(Cooper_pop_2030_2050!E:E, MATCH($A40, Cooper_pop_2030_2050!B:B, 0))))</f>
        <v>1127199.9704649793</v>
      </c>
      <c r="Z40">
        <f>(INDEX(Cooper_pop_2030_2050!E:E, MATCH($A40, Cooper_pop_2030_2050!B:B, 0)))+0.8*((INDEX(Cooper_pop_2030_2050!F:F, MATCH($A40, Cooper_pop_2030_2050!B:B, 0)))-(INDEX(Cooper_pop_2030_2050!E:E, MATCH($A40, Cooper_pop_2030_2050!B:B, 0))))</f>
        <v>1126137.4556191226</v>
      </c>
      <c r="AA40">
        <f>(INDEX(Cooper_pop_2030_2050!E:E, MATCH($A40, Cooper_pop_2030_2050!B:B, 0)))+0.9*((INDEX(Cooper_pop_2030_2050!F:F, MATCH($A40, Cooper_pop_2030_2050!B:B, 0)))-(INDEX(Cooper_pop_2030_2050!E:E, MATCH($A40, Cooper_pop_2030_2050!B:B, 0))))</f>
        <v>1125074.9407732657</v>
      </c>
      <c r="AB40">
        <f>INDEX(Cooper_pop_2030_2050!F:F, MATCH($A40, Cooper_pop_2030_2050!B:B, 0))</f>
        <v>1124012.425927409</v>
      </c>
    </row>
    <row r="41" spans="1:28">
      <c r="A41" t="s">
        <v>2925</v>
      </c>
      <c r="B41">
        <f>IFERROR(INDEX(Census_pop_2020_2025!G:G, MATCH("."&amp;$A41, Census_pop_2020_2025!A:A, 0)),INDEX(Census_pop_2020_2025!G:G, MATCH($A41, Census_pop_2020_2025!A:A, 0)))</f>
        <v>5490316</v>
      </c>
      <c r="C41">
        <f>IFERROR(INDEX(Census_pop_2020_2025!H:H, MATCH("."&amp;$A41, Census_pop_2020_2025!A:A, 0)),INDEX(Census_pop_2020_2025!H:H, MATCH($A41, Census_pop_2020_2025!A:A, 0)))</f>
        <v>5570274</v>
      </c>
      <c r="D41">
        <f>(IFERROR(INDEX(Census_pop_2020_2025!H:H, MATCH("."&amp;$A41, Census_pop_2020_2025!A:A, 0)),INDEX(Census_pop_2020_2025!H:H, MATCH($A41, Census_pop_2020_2025!A:A, 0))))+0.2*((INDEX(Cooper_pop_2030_2050!D:D, MATCH($A41, Cooper_pop_2030_2050!B:B, 0)))-(IFERROR(INDEX(Census_pop_2020_2025!H:H, MATCH("."&amp;$A41, Census_pop_2020_2025!A:A, 0)),INDEX(Census_pop_2020_2025!H:H, MATCH($A41, Census_pop_2020_2025!A:A, 0)))))</f>
        <v>5559119.350386586</v>
      </c>
      <c r="E41">
        <f>(IFERROR(INDEX(Census_pop_2020_2025!H:H, MATCH("."&amp;$A41, Census_pop_2020_2025!A:A, 0)),INDEX(Census_pop_2020_2025!H:H, MATCH($A41, Census_pop_2020_2025!A:A, 0))))+0.4*((INDEX(Cooper_pop_2030_2050!D:D, MATCH($A41, Cooper_pop_2030_2050!B:B, 0)))-(IFERROR(INDEX(Census_pop_2020_2025!H:H, MATCH("."&amp;$A41, Census_pop_2020_2025!A:A, 0)),INDEX(Census_pop_2020_2025!H:H, MATCH($A41, Census_pop_2020_2025!A:A, 0)))))</f>
        <v>5547964.7007731711</v>
      </c>
      <c r="F41">
        <f>(IFERROR(INDEX(Census_pop_2020_2025!H:H, MATCH("."&amp;$A41, Census_pop_2020_2025!A:A, 0)),INDEX(Census_pop_2020_2025!H:H, MATCH($A41, Census_pop_2020_2025!A:A, 0))))+0.6*((INDEX(Cooper_pop_2030_2050!D:D, MATCH($A41, Cooper_pop_2030_2050!B:B, 0)))-(IFERROR(INDEX(Census_pop_2020_2025!H:H, MATCH("."&amp;$A41, Census_pop_2020_2025!A:A, 0)),INDEX(Census_pop_2020_2025!H:H, MATCH($A41, Census_pop_2020_2025!A:A, 0)))))</f>
        <v>5536810.0511597572</v>
      </c>
      <c r="G41">
        <f>(IFERROR(INDEX(Census_pop_2020_2025!H:H, MATCH("."&amp;$A41, Census_pop_2020_2025!A:A, 0)),INDEX(Census_pop_2020_2025!H:H, MATCH($A41, Census_pop_2020_2025!A:A, 0))))+0.8*((INDEX(Cooper_pop_2030_2050!D:D, MATCH($A41, Cooper_pop_2030_2050!B:B, 0)))-(IFERROR(INDEX(Census_pop_2020_2025!H:H, MATCH("."&amp;$A41, Census_pop_2020_2025!A:A, 0)),INDEX(Census_pop_2020_2025!H:H, MATCH($A41, Census_pop_2020_2025!A:A, 0)))))</f>
        <v>5525655.4015463423</v>
      </c>
      <c r="H41">
        <f>INDEX(Cooper_pop_2030_2050!D:D, MATCH($A41, Cooper_pop_2030_2050!B:B, 0))</f>
        <v>5514500.7519329283</v>
      </c>
      <c r="I41">
        <f>(INDEX(Cooper_pop_2030_2050!D:D, MATCH($A41, Cooper_pop_2030_2050!B:B, 0)))+0.1*((INDEX(Cooper_pop_2030_2050!E:E, MATCH($A41, Cooper_pop_2030_2050!B:B, 0)))-(INDEX(Cooper_pop_2030_2050!D:D, MATCH($A41, Cooper_pop_2030_2050!B:B, 0))))</f>
        <v>5549759.6811375646</v>
      </c>
      <c r="J41">
        <f>(INDEX(Cooper_pop_2030_2050!D:D, MATCH($A41, Cooper_pop_2030_2050!B:B, 0)))+0.2*((INDEX(Cooper_pop_2030_2050!E:E, MATCH($A41, Cooper_pop_2030_2050!B:B, 0)))-(INDEX(Cooper_pop_2030_2050!D:D, MATCH($A41, Cooper_pop_2030_2050!B:B, 0))))</f>
        <v>5585018.6103422008</v>
      </c>
      <c r="K41">
        <f>(INDEX(Cooper_pop_2030_2050!D:D, MATCH($A41, Cooper_pop_2030_2050!B:B, 0)))+0.3*((INDEX(Cooper_pop_2030_2050!E:E, MATCH($A41, Cooper_pop_2030_2050!B:B, 0)))-(INDEX(Cooper_pop_2030_2050!D:D, MATCH($A41, Cooper_pop_2030_2050!B:B, 0))))</f>
        <v>5620277.539546838</v>
      </c>
      <c r="L41">
        <f>(INDEX(Cooper_pop_2030_2050!D:D, MATCH($A41, Cooper_pop_2030_2050!B:B, 0)))+0.4*((INDEX(Cooper_pop_2030_2050!E:E, MATCH($A41, Cooper_pop_2030_2050!B:B, 0)))-(INDEX(Cooper_pop_2030_2050!D:D, MATCH($A41, Cooper_pop_2030_2050!B:B, 0))))</f>
        <v>5655536.4687514743</v>
      </c>
      <c r="M41">
        <f>(INDEX(Cooper_pop_2030_2050!D:D, MATCH($A41, Cooper_pop_2030_2050!B:B, 0)))+0.5*((INDEX(Cooper_pop_2030_2050!E:E, MATCH($A41, Cooper_pop_2030_2050!B:B, 0)))-(INDEX(Cooper_pop_2030_2050!D:D, MATCH($A41, Cooper_pop_2030_2050!B:B, 0))))</f>
        <v>5690795.3979561105</v>
      </c>
      <c r="N41">
        <f>(INDEX(Cooper_pop_2030_2050!D:D, MATCH($A41, Cooper_pop_2030_2050!B:B, 0)))+0.6*((INDEX(Cooper_pop_2030_2050!E:E, MATCH($A41, Cooper_pop_2030_2050!B:B, 0)))-(INDEX(Cooper_pop_2030_2050!D:D, MATCH($A41, Cooper_pop_2030_2050!B:B, 0))))</f>
        <v>5726054.3271607468</v>
      </c>
      <c r="O41">
        <f>(INDEX(Cooper_pop_2030_2050!D:D, MATCH($A41, Cooper_pop_2030_2050!B:B, 0)))+0.7*((INDEX(Cooper_pop_2030_2050!E:E, MATCH($A41, Cooper_pop_2030_2050!B:B, 0)))-(INDEX(Cooper_pop_2030_2050!D:D, MATCH($A41, Cooper_pop_2030_2050!B:B, 0))))</f>
        <v>5761313.256365383</v>
      </c>
      <c r="P41">
        <f>(INDEX(Cooper_pop_2030_2050!D:D, MATCH($A41, Cooper_pop_2030_2050!B:B, 0)))+0.8*((INDEX(Cooper_pop_2030_2050!E:E, MATCH($A41, Cooper_pop_2030_2050!B:B, 0)))-(INDEX(Cooper_pop_2030_2050!D:D, MATCH($A41, Cooper_pop_2030_2050!B:B, 0))))</f>
        <v>5796572.1855700202</v>
      </c>
      <c r="Q41">
        <f>(INDEX(Cooper_pop_2030_2050!D:D, MATCH($A41, Cooper_pop_2030_2050!B:B, 0)))+0.9*((INDEX(Cooper_pop_2030_2050!E:E, MATCH($A41, Cooper_pop_2030_2050!B:B, 0)))-(INDEX(Cooper_pop_2030_2050!D:D, MATCH($A41, Cooper_pop_2030_2050!B:B, 0))))</f>
        <v>5831831.1147746565</v>
      </c>
      <c r="R41">
        <f>INDEX(Cooper_pop_2030_2050!E:E, MATCH($A41, Cooper_pop_2030_2050!B:B, 0))</f>
        <v>5867090.0439792927</v>
      </c>
      <c r="S41">
        <f>(INDEX(Cooper_pop_2030_2050!E:E, MATCH($A41, Cooper_pop_2030_2050!B:B, 0)))+0.1*((INDEX(Cooper_pop_2030_2050!F:F, MATCH($A41, Cooper_pop_2030_2050!B:B, 0)))-(INDEX(Cooper_pop_2030_2050!E:E, MATCH($A41, Cooper_pop_2030_2050!B:B, 0))))</f>
        <v>5897288.805521965</v>
      </c>
      <c r="T41">
        <f>(INDEX(Cooper_pop_2030_2050!E:E, MATCH($A41, Cooper_pop_2030_2050!B:B, 0)))+0.2*((INDEX(Cooper_pop_2030_2050!F:F, MATCH($A41, Cooper_pop_2030_2050!B:B, 0)))-(INDEX(Cooper_pop_2030_2050!E:E, MATCH($A41, Cooper_pop_2030_2050!B:B, 0))))</f>
        <v>5927487.5670646364</v>
      </c>
      <c r="U41">
        <f>(INDEX(Cooper_pop_2030_2050!E:E, MATCH($A41, Cooper_pop_2030_2050!B:B, 0)))+0.3*((INDEX(Cooper_pop_2030_2050!F:F, MATCH($A41, Cooper_pop_2030_2050!B:B, 0)))-(INDEX(Cooper_pop_2030_2050!E:E, MATCH($A41, Cooper_pop_2030_2050!B:B, 0))))</f>
        <v>5957686.3286073087</v>
      </c>
      <c r="V41">
        <f>(INDEX(Cooper_pop_2030_2050!E:E, MATCH($A41, Cooper_pop_2030_2050!B:B, 0)))+0.4*((INDEX(Cooper_pop_2030_2050!F:F, MATCH($A41, Cooper_pop_2030_2050!B:B, 0)))-(INDEX(Cooper_pop_2030_2050!E:E, MATCH($A41, Cooper_pop_2030_2050!B:B, 0))))</f>
        <v>5987885.090149981</v>
      </c>
      <c r="W41">
        <f>(INDEX(Cooper_pop_2030_2050!E:E, MATCH($A41, Cooper_pop_2030_2050!B:B, 0)))+0.5*((INDEX(Cooper_pop_2030_2050!F:F, MATCH($A41, Cooper_pop_2030_2050!B:B, 0)))-(INDEX(Cooper_pop_2030_2050!E:E, MATCH($A41, Cooper_pop_2030_2050!B:B, 0))))</f>
        <v>6018083.8516926523</v>
      </c>
      <c r="X41">
        <f>(INDEX(Cooper_pop_2030_2050!E:E, MATCH($A41, Cooper_pop_2030_2050!B:B, 0)))+0.6*((INDEX(Cooper_pop_2030_2050!F:F, MATCH($A41, Cooper_pop_2030_2050!B:B, 0)))-(INDEX(Cooper_pop_2030_2050!E:E, MATCH($A41, Cooper_pop_2030_2050!B:B, 0))))</f>
        <v>6048282.6132353246</v>
      </c>
      <c r="Y41">
        <f>(INDEX(Cooper_pop_2030_2050!E:E, MATCH($A41, Cooper_pop_2030_2050!B:B, 0)))+0.7*((INDEX(Cooper_pop_2030_2050!F:F, MATCH($A41, Cooper_pop_2030_2050!B:B, 0)))-(INDEX(Cooper_pop_2030_2050!E:E, MATCH($A41, Cooper_pop_2030_2050!B:B, 0))))</f>
        <v>6078481.3747779969</v>
      </c>
      <c r="Z41">
        <f>(INDEX(Cooper_pop_2030_2050!E:E, MATCH($A41, Cooper_pop_2030_2050!B:B, 0)))+0.8*((INDEX(Cooper_pop_2030_2050!F:F, MATCH($A41, Cooper_pop_2030_2050!B:B, 0)))-(INDEX(Cooper_pop_2030_2050!E:E, MATCH($A41, Cooper_pop_2030_2050!B:B, 0))))</f>
        <v>6108680.1363206692</v>
      </c>
      <c r="AA41">
        <f>(INDEX(Cooper_pop_2030_2050!E:E, MATCH($A41, Cooper_pop_2030_2050!B:B, 0)))+0.9*((INDEX(Cooper_pop_2030_2050!F:F, MATCH($A41, Cooper_pop_2030_2050!B:B, 0)))-(INDEX(Cooper_pop_2030_2050!E:E, MATCH($A41, Cooper_pop_2030_2050!B:B, 0))))</f>
        <v>6138878.8978633406</v>
      </c>
      <c r="AB41">
        <f>INDEX(Cooper_pop_2030_2050!F:F, MATCH($A41, Cooper_pop_2030_2050!B:B, 0))</f>
        <v>6169077.6594060129</v>
      </c>
    </row>
    <row r="42" spans="1:28">
      <c r="A42" t="s">
        <v>2926</v>
      </c>
      <c r="B42">
        <f>IFERROR(INDEX(Census_pop_2020_2025!G:G, MATCH("."&amp;$A42, Census_pop_2020_2025!A:A, 0)),INDEX(Census_pop_2020_2025!G:G, MATCH($A42, Census_pop_2020_2025!A:A, 0)))</f>
        <v>927110</v>
      </c>
      <c r="C42">
        <f>IFERROR(INDEX(Census_pop_2020_2025!H:H, MATCH("."&amp;$A42, Census_pop_2020_2025!A:A, 0)),INDEX(Census_pop_2020_2025!H:H, MATCH($A42, Census_pop_2020_2025!A:A, 0)))</f>
        <v>935094</v>
      </c>
      <c r="D42">
        <f>(IFERROR(INDEX(Census_pop_2020_2025!H:H, MATCH("."&amp;$A42, Census_pop_2020_2025!A:A, 0)),INDEX(Census_pop_2020_2025!H:H, MATCH($A42, Census_pop_2020_2025!A:A, 0))))+0.2*((INDEX(Cooper_pop_2030_2050!D:D, MATCH($A42, Cooper_pop_2030_2050!B:B, 0)))-(IFERROR(INDEX(Census_pop_2020_2025!H:H, MATCH("."&amp;$A42, Census_pop_2020_2025!A:A, 0)),INDEX(Census_pop_2020_2025!H:H, MATCH($A42, Census_pop_2020_2025!A:A, 0)))))</f>
        <v>936927.00669864158</v>
      </c>
      <c r="E42">
        <f>(IFERROR(INDEX(Census_pop_2020_2025!H:H, MATCH("."&amp;$A42, Census_pop_2020_2025!A:A, 0)),INDEX(Census_pop_2020_2025!H:H, MATCH($A42, Census_pop_2020_2025!A:A, 0))))+0.4*((INDEX(Cooper_pop_2030_2050!D:D, MATCH($A42, Cooper_pop_2030_2050!B:B, 0)))-(IFERROR(INDEX(Census_pop_2020_2025!H:H, MATCH("."&amp;$A42, Census_pop_2020_2025!A:A, 0)),INDEX(Census_pop_2020_2025!H:H, MATCH($A42, Census_pop_2020_2025!A:A, 0)))))</f>
        <v>938760.01339728315</v>
      </c>
      <c r="F42">
        <f>(IFERROR(INDEX(Census_pop_2020_2025!H:H, MATCH("."&amp;$A42, Census_pop_2020_2025!A:A, 0)),INDEX(Census_pop_2020_2025!H:H, MATCH($A42, Census_pop_2020_2025!A:A, 0))))+0.6*((INDEX(Cooper_pop_2030_2050!D:D, MATCH($A42, Cooper_pop_2030_2050!B:B, 0)))-(IFERROR(INDEX(Census_pop_2020_2025!H:H, MATCH("."&amp;$A42, Census_pop_2020_2025!A:A, 0)),INDEX(Census_pop_2020_2025!H:H, MATCH($A42, Census_pop_2020_2025!A:A, 0)))))</f>
        <v>940593.02009592485</v>
      </c>
      <c r="G42">
        <f>(IFERROR(INDEX(Census_pop_2020_2025!H:H, MATCH("."&amp;$A42, Census_pop_2020_2025!A:A, 0)),INDEX(Census_pop_2020_2025!H:H, MATCH($A42, Census_pop_2020_2025!A:A, 0))))+0.8*((INDEX(Cooper_pop_2030_2050!D:D, MATCH($A42, Cooper_pop_2030_2050!B:B, 0)))-(IFERROR(INDEX(Census_pop_2020_2025!H:H, MATCH("."&amp;$A42, Census_pop_2020_2025!A:A, 0)),INDEX(Census_pop_2020_2025!H:H, MATCH($A42, Census_pop_2020_2025!A:A, 0)))))</f>
        <v>942426.02679456642</v>
      </c>
      <c r="H42">
        <f>INDEX(Cooper_pop_2030_2050!D:D, MATCH($A42, Cooper_pop_2030_2050!B:B, 0))</f>
        <v>944259.033493208</v>
      </c>
      <c r="I42">
        <f>(INDEX(Cooper_pop_2030_2050!D:D, MATCH($A42, Cooper_pop_2030_2050!B:B, 0)))+0.1*((INDEX(Cooper_pop_2030_2050!E:E, MATCH($A42, Cooper_pop_2030_2050!B:B, 0)))-(INDEX(Cooper_pop_2030_2050!D:D, MATCH($A42, Cooper_pop_2030_2050!B:B, 0))))</f>
        <v>948701.50345192209</v>
      </c>
      <c r="J42">
        <f>(INDEX(Cooper_pop_2030_2050!D:D, MATCH($A42, Cooper_pop_2030_2050!B:B, 0)))+0.2*((INDEX(Cooper_pop_2030_2050!E:E, MATCH($A42, Cooper_pop_2030_2050!B:B, 0)))-(INDEX(Cooper_pop_2030_2050!D:D, MATCH($A42, Cooper_pop_2030_2050!B:B, 0))))</f>
        <v>953143.97341063619</v>
      </c>
      <c r="K42">
        <f>(INDEX(Cooper_pop_2030_2050!D:D, MATCH($A42, Cooper_pop_2030_2050!B:B, 0)))+0.3*((INDEX(Cooper_pop_2030_2050!E:E, MATCH($A42, Cooper_pop_2030_2050!B:B, 0)))-(INDEX(Cooper_pop_2030_2050!D:D, MATCH($A42, Cooper_pop_2030_2050!B:B, 0))))</f>
        <v>957586.44336935028</v>
      </c>
      <c r="L42">
        <f>(INDEX(Cooper_pop_2030_2050!D:D, MATCH($A42, Cooper_pop_2030_2050!B:B, 0)))+0.4*((INDEX(Cooper_pop_2030_2050!E:E, MATCH($A42, Cooper_pop_2030_2050!B:B, 0)))-(INDEX(Cooper_pop_2030_2050!D:D, MATCH($A42, Cooper_pop_2030_2050!B:B, 0))))</f>
        <v>962028.91332806437</v>
      </c>
      <c r="M42">
        <f>(INDEX(Cooper_pop_2030_2050!D:D, MATCH($A42, Cooper_pop_2030_2050!B:B, 0)))+0.5*((INDEX(Cooper_pop_2030_2050!E:E, MATCH($A42, Cooper_pop_2030_2050!B:B, 0)))-(INDEX(Cooper_pop_2030_2050!D:D, MATCH($A42, Cooper_pop_2030_2050!B:B, 0))))</f>
        <v>966471.38328677858</v>
      </c>
      <c r="N42">
        <f>(INDEX(Cooper_pop_2030_2050!D:D, MATCH($A42, Cooper_pop_2030_2050!B:B, 0)))+0.6*((INDEX(Cooper_pop_2030_2050!E:E, MATCH($A42, Cooper_pop_2030_2050!B:B, 0)))-(INDEX(Cooper_pop_2030_2050!D:D, MATCH($A42, Cooper_pop_2030_2050!B:B, 0))))</f>
        <v>970913.85324549268</v>
      </c>
      <c r="O42">
        <f>(INDEX(Cooper_pop_2030_2050!D:D, MATCH($A42, Cooper_pop_2030_2050!B:B, 0)))+0.7*((INDEX(Cooper_pop_2030_2050!E:E, MATCH($A42, Cooper_pop_2030_2050!B:B, 0)))-(INDEX(Cooper_pop_2030_2050!D:D, MATCH($A42, Cooper_pop_2030_2050!B:B, 0))))</f>
        <v>975356.32320420677</v>
      </c>
      <c r="P42">
        <f>(INDEX(Cooper_pop_2030_2050!D:D, MATCH($A42, Cooper_pop_2030_2050!B:B, 0)))+0.8*((INDEX(Cooper_pop_2030_2050!E:E, MATCH($A42, Cooper_pop_2030_2050!B:B, 0)))-(INDEX(Cooper_pop_2030_2050!D:D, MATCH($A42, Cooper_pop_2030_2050!B:B, 0))))</f>
        <v>979798.79316292086</v>
      </c>
      <c r="Q42">
        <f>(INDEX(Cooper_pop_2030_2050!D:D, MATCH($A42, Cooper_pop_2030_2050!B:B, 0)))+0.9*((INDEX(Cooper_pop_2030_2050!E:E, MATCH($A42, Cooper_pop_2030_2050!B:B, 0)))-(INDEX(Cooper_pop_2030_2050!D:D, MATCH($A42, Cooper_pop_2030_2050!B:B, 0))))</f>
        <v>984241.26312163495</v>
      </c>
      <c r="R42">
        <f>INDEX(Cooper_pop_2030_2050!E:E, MATCH($A42, Cooper_pop_2030_2050!B:B, 0))</f>
        <v>988683.73308034905</v>
      </c>
      <c r="S42">
        <f>(INDEX(Cooper_pop_2030_2050!E:E, MATCH($A42, Cooper_pop_2030_2050!B:B, 0)))+0.1*((INDEX(Cooper_pop_2030_2050!F:F, MATCH($A42, Cooper_pop_2030_2050!B:B, 0)))-(INDEX(Cooper_pop_2030_2050!E:E, MATCH($A42, Cooper_pop_2030_2050!B:B, 0))))</f>
        <v>992122.17366225738</v>
      </c>
      <c r="T42">
        <f>(INDEX(Cooper_pop_2030_2050!E:E, MATCH($A42, Cooper_pop_2030_2050!B:B, 0)))+0.2*((INDEX(Cooper_pop_2030_2050!F:F, MATCH($A42, Cooper_pop_2030_2050!B:B, 0)))-(INDEX(Cooper_pop_2030_2050!E:E, MATCH($A42, Cooper_pop_2030_2050!B:B, 0))))</f>
        <v>995560.61424416583</v>
      </c>
      <c r="U42">
        <f>(INDEX(Cooper_pop_2030_2050!E:E, MATCH($A42, Cooper_pop_2030_2050!B:B, 0)))+0.3*((INDEX(Cooper_pop_2030_2050!F:F, MATCH($A42, Cooper_pop_2030_2050!B:B, 0)))-(INDEX(Cooper_pop_2030_2050!E:E, MATCH($A42, Cooper_pop_2030_2050!B:B, 0))))</f>
        <v>998999.05482607428</v>
      </c>
      <c r="V42">
        <f>(INDEX(Cooper_pop_2030_2050!E:E, MATCH($A42, Cooper_pop_2030_2050!B:B, 0)))+0.4*((INDEX(Cooper_pop_2030_2050!F:F, MATCH($A42, Cooper_pop_2030_2050!B:B, 0)))-(INDEX(Cooper_pop_2030_2050!E:E, MATCH($A42, Cooper_pop_2030_2050!B:B, 0))))</f>
        <v>1002437.4954079826</v>
      </c>
      <c r="W42">
        <f>(INDEX(Cooper_pop_2030_2050!E:E, MATCH($A42, Cooper_pop_2030_2050!B:B, 0)))+0.5*((INDEX(Cooper_pop_2030_2050!F:F, MATCH($A42, Cooper_pop_2030_2050!B:B, 0)))-(INDEX(Cooper_pop_2030_2050!E:E, MATCH($A42, Cooper_pop_2030_2050!B:B, 0))))</f>
        <v>1005875.9359898909</v>
      </c>
      <c r="X42">
        <f>(INDEX(Cooper_pop_2030_2050!E:E, MATCH($A42, Cooper_pop_2030_2050!B:B, 0)))+0.6*((INDEX(Cooper_pop_2030_2050!F:F, MATCH($A42, Cooper_pop_2030_2050!B:B, 0)))-(INDEX(Cooper_pop_2030_2050!E:E, MATCH($A42, Cooper_pop_2030_2050!B:B, 0))))</f>
        <v>1009314.3765717994</v>
      </c>
      <c r="Y42">
        <f>(INDEX(Cooper_pop_2030_2050!E:E, MATCH($A42, Cooper_pop_2030_2050!B:B, 0)))+0.7*((INDEX(Cooper_pop_2030_2050!F:F, MATCH($A42, Cooper_pop_2030_2050!B:B, 0)))-(INDEX(Cooper_pop_2030_2050!E:E, MATCH($A42, Cooper_pop_2030_2050!B:B, 0))))</f>
        <v>1012752.8171537078</v>
      </c>
      <c r="Z42">
        <f>(INDEX(Cooper_pop_2030_2050!E:E, MATCH($A42, Cooper_pop_2030_2050!B:B, 0)))+0.8*((INDEX(Cooper_pop_2030_2050!F:F, MATCH($A42, Cooper_pop_2030_2050!B:B, 0)))-(INDEX(Cooper_pop_2030_2050!E:E, MATCH($A42, Cooper_pop_2030_2050!B:B, 0))))</f>
        <v>1016191.2577356162</v>
      </c>
      <c r="AA42">
        <f>(INDEX(Cooper_pop_2030_2050!E:E, MATCH($A42, Cooper_pop_2030_2050!B:B, 0)))+0.9*((INDEX(Cooper_pop_2030_2050!F:F, MATCH($A42, Cooper_pop_2030_2050!B:B, 0)))-(INDEX(Cooper_pop_2030_2050!E:E, MATCH($A42, Cooper_pop_2030_2050!B:B, 0))))</f>
        <v>1019629.6983175245</v>
      </c>
      <c r="AB42">
        <f>INDEX(Cooper_pop_2030_2050!F:F, MATCH($A42, Cooper_pop_2030_2050!B:B, 0))</f>
        <v>1023068.138899433</v>
      </c>
    </row>
    <row r="43" spans="1:28">
      <c r="A43" t="s">
        <v>2927</v>
      </c>
      <c r="B43">
        <f>IFERROR(INDEX(Census_pop_2020_2025!G:G, MATCH("."&amp;$A43, Census_pop_2020_2025!A:A, 0)),INDEX(Census_pop_2020_2025!G:G, MATCH($A43, Census_pop_2020_2025!A:A, 0)))</f>
        <v>7251291</v>
      </c>
      <c r="C43">
        <f>IFERROR(INDEX(Census_pop_2020_2025!H:H, MATCH("."&amp;$A43, Census_pop_2020_2025!A:A, 0)),INDEX(Census_pop_2020_2025!H:H, MATCH($A43, Census_pop_2020_2025!A:A, 0)))</f>
        <v>7315076</v>
      </c>
      <c r="D43">
        <f>(IFERROR(INDEX(Census_pop_2020_2025!H:H, MATCH("."&amp;$A43, Census_pop_2020_2025!A:A, 0)),INDEX(Census_pop_2020_2025!H:H, MATCH($A43, Census_pop_2020_2025!A:A, 0))))+0.2*((INDEX(Cooper_pop_2030_2050!D:D, MATCH($A43, Cooper_pop_2030_2050!B:B, 0)))-(IFERROR(INDEX(Census_pop_2020_2025!H:H, MATCH("."&amp;$A43, Census_pop_2020_2025!A:A, 0)),INDEX(Census_pop_2020_2025!H:H, MATCH($A43, Census_pop_2020_2025!A:A, 0)))))</f>
        <v>7323964.5833031051</v>
      </c>
      <c r="E43">
        <f>(IFERROR(INDEX(Census_pop_2020_2025!H:H, MATCH("."&amp;$A43, Census_pop_2020_2025!A:A, 0)),INDEX(Census_pop_2020_2025!H:H, MATCH($A43, Census_pop_2020_2025!A:A, 0))))+0.4*((INDEX(Cooper_pop_2030_2050!D:D, MATCH($A43, Cooper_pop_2030_2050!B:B, 0)))-(IFERROR(INDEX(Census_pop_2020_2025!H:H, MATCH("."&amp;$A43, Census_pop_2020_2025!A:A, 0)),INDEX(Census_pop_2020_2025!H:H, MATCH($A43, Census_pop_2020_2025!A:A, 0)))))</f>
        <v>7332853.1666062092</v>
      </c>
      <c r="F43">
        <f>(IFERROR(INDEX(Census_pop_2020_2025!H:H, MATCH("."&amp;$A43, Census_pop_2020_2025!A:A, 0)),INDEX(Census_pop_2020_2025!H:H, MATCH($A43, Census_pop_2020_2025!A:A, 0))))+0.6*((INDEX(Cooper_pop_2030_2050!D:D, MATCH($A43, Cooper_pop_2030_2050!B:B, 0)))-(IFERROR(INDEX(Census_pop_2020_2025!H:H, MATCH("."&amp;$A43, Census_pop_2020_2025!A:A, 0)),INDEX(Census_pop_2020_2025!H:H, MATCH($A43, Census_pop_2020_2025!A:A, 0)))))</f>
        <v>7341741.7499093143</v>
      </c>
      <c r="G43">
        <f>(IFERROR(INDEX(Census_pop_2020_2025!H:H, MATCH("."&amp;$A43, Census_pop_2020_2025!A:A, 0)),INDEX(Census_pop_2020_2025!H:H, MATCH($A43, Census_pop_2020_2025!A:A, 0))))+0.8*((INDEX(Cooper_pop_2030_2050!D:D, MATCH($A43, Cooper_pop_2030_2050!B:B, 0)))-(IFERROR(INDEX(Census_pop_2020_2025!H:H, MATCH("."&amp;$A43, Census_pop_2020_2025!A:A, 0)),INDEX(Census_pop_2020_2025!H:H, MATCH($A43, Census_pop_2020_2025!A:A, 0)))))</f>
        <v>7350630.3332124185</v>
      </c>
      <c r="H43">
        <f>INDEX(Cooper_pop_2030_2050!D:D, MATCH($A43, Cooper_pop_2030_2050!B:B, 0))</f>
        <v>7359518.9165155236</v>
      </c>
      <c r="I43">
        <f>(INDEX(Cooper_pop_2030_2050!D:D, MATCH($A43, Cooper_pop_2030_2050!B:B, 0)))+0.1*((INDEX(Cooper_pop_2030_2050!E:E, MATCH($A43, Cooper_pop_2030_2050!B:B, 0)))-(INDEX(Cooper_pop_2030_2050!D:D, MATCH($A43, Cooper_pop_2030_2050!B:B, 0))))</f>
        <v>7394114.0283095893</v>
      </c>
      <c r="J43">
        <f>(INDEX(Cooper_pop_2030_2050!D:D, MATCH($A43, Cooper_pop_2030_2050!B:B, 0)))+0.2*((INDEX(Cooper_pop_2030_2050!E:E, MATCH($A43, Cooper_pop_2030_2050!B:B, 0)))-(INDEX(Cooper_pop_2030_2050!D:D, MATCH($A43, Cooper_pop_2030_2050!B:B, 0))))</f>
        <v>7428709.1401036549</v>
      </c>
      <c r="K43">
        <f>(INDEX(Cooper_pop_2030_2050!D:D, MATCH($A43, Cooper_pop_2030_2050!B:B, 0)))+0.3*((INDEX(Cooper_pop_2030_2050!E:E, MATCH($A43, Cooper_pop_2030_2050!B:B, 0)))-(INDEX(Cooper_pop_2030_2050!D:D, MATCH($A43, Cooper_pop_2030_2050!B:B, 0))))</f>
        <v>7463304.2518977197</v>
      </c>
      <c r="L43">
        <f>(INDEX(Cooper_pop_2030_2050!D:D, MATCH($A43, Cooper_pop_2030_2050!B:B, 0)))+0.4*((INDEX(Cooper_pop_2030_2050!E:E, MATCH($A43, Cooper_pop_2030_2050!B:B, 0)))-(INDEX(Cooper_pop_2030_2050!D:D, MATCH($A43, Cooper_pop_2030_2050!B:B, 0))))</f>
        <v>7497899.3636917854</v>
      </c>
      <c r="M43">
        <f>(INDEX(Cooper_pop_2030_2050!D:D, MATCH($A43, Cooper_pop_2030_2050!B:B, 0)))+0.5*((INDEX(Cooper_pop_2030_2050!E:E, MATCH($A43, Cooper_pop_2030_2050!B:B, 0)))-(INDEX(Cooper_pop_2030_2050!D:D, MATCH($A43, Cooper_pop_2030_2050!B:B, 0))))</f>
        <v>7532494.4754858511</v>
      </c>
      <c r="N43">
        <f>(INDEX(Cooper_pop_2030_2050!D:D, MATCH($A43, Cooper_pop_2030_2050!B:B, 0)))+0.6*((INDEX(Cooper_pop_2030_2050!E:E, MATCH($A43, Cooper_pop_2030_2050!B:B, 0)))-(INDEX(Cooper_pop_2030_2050!D:D, MATCH($A43, Cooper_pop_2030_2050!B:B, 0))))</f>
        <v>7567089.5872799167</v>
      </c>
      <c r="O43">
        <f>(INDEX(Cooper_pop_2030_2050!D:D, MATCH($A43, Cooper_pop_2030_2050!B:B, 0)))+0.7*((INDEX(Cooper_pop_2030_2050!E:E, MATCH($A43, Cooper_pop_2030_2050!B:B, 0)))-(INDEX(Cooper_pop_2030_2050!D:D, MATCH($A43, Cooper_pop_2030_2050!B:B, 0))))</f>
        <v>7601684.6990739824</v>
      </c>
      <c r="P43">
        <f>(INDEX(Cooper_pop_2030_2050!D:D, MATCH($A43, Cooper_pop_2030_2050!B:B, 0)))+0.8*((INDEX(Cooper_pop_2030_2050!E:E, MATCH($A43, Cooper_pop_2030_2050!B:B, 0)))-(INDEX(Cooper_pop_2030_2050!D:D, MATCH($A43, Cooper_pop_2030_2050!B:B, 0))))</f>
        <v>7636279.8108680472</v>
      </c>
      <c r="Q43">
        <f>(INDEX(Cooper_pop_2030_2050!D:D, MATCH($A43, Cooper_pop_2030_2050!B:B, 0)))+0.9*((INDEX(Cooper_pop_2030_2050!E:E, MATCH($A43, Cooper_pop_2030_2050!B:B, 0)))-(INDEX(Cooper_pop_2030_2050!D:D, MATCH($A43, Cooper_pop_2030_2050!B:B, 0))))</f>
        <v>7670874.9226621129</v>
      </c>
      <c r="R43">
        <f>INDEX(Cooper_pop_2030_2050!E:E, MATCH($A43, Cooper_pop_2030_2050!B:B, 0))</f>
        <v>7705470.0344561785</v>
      </c>
      <c r="S43">
        <f>(INDEX(Cooper_pop_2030_2050!E:E, MATCH($A43, Cooper_pop_2030_2050!B:B, 0)))+0.1*((INDEX(Cooper_pop_2030_2050!F:F, MATCH($A43, Cooper_pop_2030_2050!B:B, 0)))-(INDEX(Cooper_pop_2030_2050!E:E, MATCH($A43, Cooper_pop_2030_2050!B:B, 0))))</f>
        <v>7732237.7406541547</v>
      </c>
      <c r="T43">
        <f>(INDEX(Cooper_pop_2030_2050!E:E, MATCH($A43, Cooper_pop_2030_2050!B:B, 0)))+0.2*((INDEX(Cooper_pop_2030_2050!F:F, MATCH($A43, Cooper_pop_2030_2050!B:B, 0)))-(INDEX(Cooper_pop_2030_2050!E:E, MATCH($A43, Cooper_pop_2030_2050!B:B, 0))))</f>
        <v>7759005.4468521317</v>
      </c>
      <c r="U43">
        <f>(INDEX(Cooper_pop_2030_2050!E:E, MATCH($A43, Cooper_pop_2030_2050!B:B, 0)))+0.3*((INDEX(Cooper_pop_2030_2050!F:F, MATCH($A43, Cooper_pop_2030_2050!B:B, 0)))-(INDEX(Cooper_pop_2030_2050!E:E, MATCH($A43, Cooper_pop_2030_2050!B:B, 0))))</f>
        <v>7785773.1530501079</v>
      </c>
      <c r="V43">
        <f>(INDEX(Cooper_pop_2030_2050!E:E, MATCH($A43, Cooper_pop_2030_2050!B:B, 0)))+0.4*((INDEX(Cooper_pop_2030_2050!F:F, MATCH($A43, Cooper_pop_2030_2050!B:B, 0)))-(INDEX(Cooper_pop_2030_2050!E:E, MATCH($A43, Cooper_pop_2030_2050!B:B, 0))))</f>
        <v>7812540.8592480849</v>
      </c>
      <c r="W43">
        <f>(INDEX(Cooper_pop_2030_2050!E:E, MATCH($A43, Cooper_pop_2030_2050!B:B, 0)))+0.5*((INDEX(Cooper_pop_2030_2050!F:F, MATCH($A43, Cooper_pop_2030_2050!B:B, 0)))-(INDEX(Cooper_pop_2030_2050!E:E, MATCH($A43, Cooper_pop_2030_2050!B:B, 0))))</f>
        <v>7839308.5654460611</v>
      </c>
      <c r="X43">
        <f>(INDEX(Cooper_pop_2030_2050!E:E, MATCH($A43, Cooper_pop_2030_2050!B:B, 0)))+0.6*((INDEX(Cooper_pop_2030_2050!F:F, MATCH($A43, Cooper_pop_2030_2050!B:B, 0)))-(INDEX(Cooper_pop_2030_2050!E:E, MATCH($A43, Cooper_pop_2030_2050!B:B, 0))))</f>
        <v>7866076.2716440372</v>
      </c>
      <c r="Y43">
        <f>(INDEX(Cooper_pop_2030_2050!E:E, MATCH($A43, Cooper_pop_2030_2050!B:B, 0)))+0.7*((INDEX(Cooper_pop_2030_2050!F:F, MATCH($A43, Cooper_pop_2030_2050!B:B, 0)))-(INDEX(Cooper_pop_2030_2050!E:E, MATCH($A43, Cooper_pop_2030_2050!B:B, 0))))</f>
        <v>7892843.9778420143</v>
      </c>
      <c r="Z43">
        <f>(INDEX(Cooper_pop_2030_2050!E:E, MATCH($A43, Cooper_pop_2030_2050!B:B, 0)))+0.8*((INDEX(Cooper_pop_2030_2050!F:F, MATCH($A43, Cooper_pop_2030_2050!B:B, 0)))-(INDEX(Cooper_pop_2030_2050!E:E, MATCH($A43, Cooper_pop_2030_2050!B:B, 0))))</f>
        <v>7919611.6840399904</v>
      </c>
      <c r="AA43">
        <f>(INDEX(Cooper_pop_2030_2050!E:E, MATCH($A43, Cooper_pop_2030_2050!B:B, 0)))+0.9*((INDEX(Cooper_pop_2030_2050!F:F, MATCH($A43, Cooper_pop_2030_2050!B:B, 0)))-(INDEX(Cooper_pop_2030_2050!E:E, MATCH($A43, Cooper_pop_2030_2050!B:B, 0))))</f>
        <v>7946379.3902379675</v>
      </c>
      <c r="AB43">
        <f>INDEX(Cooper_pop_2030_2050!F:F, MATCH($A43, Cooper_pop_2030_2050!B:B, 0))</f>
        <v>7973147.0964359436</v>
      </c>
    </row>
    <row r="44" spans="1:28">
      <c r="A44" t="s">
        <v>2928</v>
      </c>
      <c r="B44">
        <f>IFERROR(INDEX(Census_pop_2020_2025!G:G, MATCH("."&amp;$A44, Census_pop_2020_2025!A:A, 0)),INDEX(Census_pop_2020_2025!G:G, MATCH($A44, Census_pop_2020_2025!A:A, 0)))</f>
        <v>31318578</v>
      </c>
      <c r="C44">
        <f>IFERROR(INDEX(Census_pop_2020_2025!H:H, MATCH("."&amp;$A44, Census_pop_2020_2025!A:A, 0)),INDEX(Census_pop_2020_2025!H:H, MATCH($A44, Census_pop_2020_2025!A:A, 0)))</f>
        <v>31709821</v>
      </c>
      <c r="D44">
        <f>(IFERROR(INDEX(Census_pop_2020_2025!H:H, MATCH("."&amp;$A44, Census_pop_2020_2025!A:A, 0)),INDEX(Census_pop_2020_2025!H:H, MATCH($A44, Census_pop_2020_2025!A:A, 0))))+0.2*((INDEX(Cooper_pop_2030_2050!D:D, MATCH($A44, Cooper_pop_2030_2050!B:B, 0)))-(IFERROR(INDEX(Census_pop_2020_2025!H:H, MATCH("."&amp;$A44, Census_pop_2020_2025!A:A, 0)),INDEX(Census_pop_2020_2025!H:H, MATCH($A44, Census_pop_2020_2025!A:A, 0)))))</f>
        <v>31860577.139318027</v>
      </c>
      <c r="E44">
        <f>(IFERROR(INDEX(Census_pop_2020_2025!H:H, MATCH("."&amp;$A44, Census_pop_2020_2025!A:A, 0)),INDEX(Census_pop_2020_2025!H:H, MATCH($A44, Census_pop_2020_2025!A:A, 0))))+0.4*((INDEX(Cooper_pop_2030_2050!D:D, MATCH($A44, Cooper_pop_2030_2050!B:B, 0)))-(IFERROR(INDEX(Census_pop_2020_2025!H:H, MATCH("."&amp;$A44, Census_pop_2020_2025!A:A, 0)),INDEX(Census_pop_2020_2025!H:H, MATCH($A44, Census_pop_2020_2025!A:A, 0)))))</f>
        <v>32011333.278636057</v>
      </c>
      <c r="F44">
        <f>(IFERROR(INDEX(Census_pop_2020_2025!H:H, MATCH("."&amp;$A44, Census_pop_2020_2025!A:A, 0)),INDEX(Census_pop_2020_2025!H:H, MATCH($A44, Census_pop_2020_2025!A:A, 0))))+0.6*((INDEX(Cooper_pop_2030_2050!D:D, MATCH($A44, Cooper_pop_2030_2050!B:B, 0)))-(IFERROR(INDEX(Census_pop_2020_2025!H:H, MATCH("."&amp;$A44, Census_pop_2020_2025!A:A, 0)),INDEX(Census_pop_2020_2025!H:H, MATCH($A44, Census_pop_2020_2025!A:A, 0)))))</f>
        <v>32162089.417954084</v>
      </c>
      <c r="G44">
        <f>(IFERROR(INDEX(Census_pop_2020_2025!H:H, MATCH("."&amp;$A44, Census_pop_2020_2025!A:A, 0)),INDEX(Census_pop_2020_2025!H:H, MATCH($A44, Census_pop_2020_2025!A:A, 0))))+0.8*((INDEX(Cooper_pop_2030_2050!D:D, MATCH($A44, Cooper_pop_2030_2050!B:B, 0)))-(IFERROR(INDEX(Census_pop_2020_2025!H:H, MATCH("."&amp;$A44, Census_pop_2020_2025!A:A, 0)),INDEX(Census_pop_2020_2025!H:H, MATCH($A44, Census_pop_2020_2025!A:A, 0)))))</f>
        <v>32312845.557272114</v>
      </c>
      <c r="H44">
        <f>INDEX(Cooper_pop_2030_2050!D:D, MATCH($A44, Cooper_pop_2030_2050!B:B, 0))</f>
        <v>32463601.69659014</v>
      </c>
      <c r="I44">
        <f>(INDEX(Cooper_pop_2030_2050!D:D, MATCH($A44, Cooper_pop_2030_2050!B:B, 0)))+0.1*((INDEX(Cooper_pop_2030_2050!E:E, MATCH($A44, Cooper_pop_2030_2050!B:B, 0)))-(INDEX(Cooper_pop_2030_2050!D:D, MATCH($A44, Cooper_pop_2030_2050!B:B, 0))))</f>
        <v>32834945.958398774</v>
      </c>
      <c r="J44">
        <f>(INDEX(Cooper_pop_2030_2050!D:D, MATCH($A44, Cooper_pop_2030_2050!B:B, 0)))+0.2*((INDEX(Cooper_pop_2030_2050!E:E, MATCH($A44, Cooper_pop_2030_2050!B:B, 0)))-(INDEX(Cooper_pop_2030_2050!D:D, MATCH($A44, Cooper_pop_2030_2050!B:B, 0))))</f>
        <v>33206290.220207412</v>
      </c>
      <c r="K44">
        <f>(INDEX(Cooper_pop_2030_2050!D:D, MATCH($A44, Cooper_pop_2030_2050!B:B, 0)))+0.3*((INDEX(Cooper_pop_2030_2050!E:E, MATCH($A44, Cooper_pop_2030_2050!B:B, 0)))-(INDEX(Cooper_pop_2030_2050!D:D, MATCH($A44, Cooper_pop_2030_2050!B:B, 0))))</f>
        <v>33577634.482016049</v>
      </c>
      <c r="L44">
        <f>(INDEX(Cooper_pop_2030_2050!D:D, MATCH($A44, Cooper_pop_2030_2050!B:B, 0)))+0.4*((INDEX(Cooper_pop_2030_2050!E:E, MATCH($A44, Cooper_pop_2030_2050!B:B, 0)))-(INDEX(Cooper_pop_2030_2050!D:D, MATCH($A44, Cooper_pop_2030_2050!B:B, 0))))</f>
        <v>33948978.743824683</v>
      </c>
      <c r="M44">
        <f>(INDEX(Cooper_pop_2030_2050!D:D, MATCH($A44, Cooper_pop_2030_2050!B:B, 0)))+0.5*((INDEX(Cooper_pop_2030_2050!E:E, MATCH($A44, Cooper_pop_2030_2050!B:B, 0)))-(INDEX(Cooper_pop_2030_2050!D:D, MATCH($A44, Cooper_pop_2030_2050!B:B, 0))))</f>
        <v>34320323.005633317</v>
      </c>
      <c r="N44">
        <f>(INDEX(Cooper_pop_2030_2050!D:D, MATCH($A44, Cooper_pop_2030_2050!B:B, 0)))+0.6*((INDEX(Cooper_pop_2030_2050!E:E, MATCH($A44, Cooper_pop_2030_2050!B:B, 0)))-(INDEX(Cooper_pop_2030_2050!D:D, MATCH($A44, Cooper_pop_2030_2050!B:B, 0))))</f>
        <v>34691667.267441951</v>
      </c>
      <c r="O44">
        <f>(INDEX(Cooper_pop_2030_2050!D:D, MATCH($A44, Cooper_pop_2030_2050!B:B, 0)))+0.7*((INDEX(Cooper_pop_2030_2050!E:E, MATCH($A44, Cooper_pop_2030_2050!B:B, 0)))-(INDEX(Cooper_pop_2030_2050!D:D, MATCH($A44, Cooper_pop_2030_2050!B:B, 0))))</f>
        <v>35063011.529250585</v>
      </c>
      <c r="P44">
        <f>(INDEX(Cooper_pop_2030_2050!D:D, MATCH($A44, Cooper_pop_2030_2050!B:B, 0)))+0.8*((INDEX(Cooper_pop_2030_2050!E:E, MATCH($A44, Cooper_pop_2030_2050!B:B, 0)))-(INDEX(Cooper_pop_2030_2050!D:D, MATCH($A44, Cooper_pop_2030_2050!B:B, 0))))</f>
        <v>35434355.791059226</v>
      </c>
      <c r="Q44">
        <f>(INDEX(Cooper_pop_2030_2050!D:D, MATCH($A44, Cooper_pop_2030_2050!B:B, 0)))+0.9*((INDEX(Cooper_pop_2030_2050!E:E, MATCH($A44, Cooper_pop_2030_2050!B:B, 0)))-(INDEX(Cooper_pop_2030_2050!D:D, MATCH($A44, Cooper_pop_2030_2050!B:B, 0))))</f>
        <v>35805700.05286786</v>
      </c>
      <c r="R44">
        <f>INDEX(Cooper_pop_2030_2050!E:E, MATCH($A44, Cooper_pop_2030_2050!B:B, 0))</f>
        <v>36177044.314676493</v>
      </c>
      <c r="S44">
        <f>(INDEX(Cooper_pop_2030_2050!E:E, MATCH($A44, Cooper_pop_2030_2050!B:B, 0)))+0.1*((INDEX(Cooper_pop_2030_2050!F:F, MATCH($A44, Cooper_pop_2030_2050!B:B, 0)))-(INDEX(Cooper_pop_2030_2050!E:E, MATCH($A44, Cooper_pop_2030_2050!B:B, 0))))</f>
        <v>36543624.853051856</v>
      </c>
      <c r="T44">
        <f>(INDEX(Cooper_pop_2030_2050!E:E, MATCH($A44, Cooper_pop_2030_2050!B:B, 0)))+0.2*((INDEX(Cooper_pop_2030_2050!F:F, MATCH($A44, Cooper_pop_2030_2050!B:B, 0)))-(INDEX(Cooper_pop_2030_2050!E:E, MATCH($A44, Cooper_pop_2030_2050!B:B, 0))))</f>
        <v>36910205.391427226</v>
      </c>
      <c r="U44">
        <f>(INDEX(Cooper_pop_2030_2050!E:E, MATCH($A44, Cooper_pop_2030_2050!B:B, 0)))+0.3*((INDEX(Cooper_pop_2030_2050!F:F, MATCH($A44, Cooper_pop_2030_2050!B:B, 0)))-(INDEX(Cooper_pop_2030_2050!E:E, MATCH($A44, Cooper_pop_2030_2050!B:B, 0))))</f>
        <v>37276785.929802589</v>
      </c>
      <c r="V44">
        <f>(INDEX(Cooper_pop_2030_2050!E:E, MATCH($A44, Cooper_pop_2030_2050!B:B, 0)))+0.4*((INDEX(Cooper_pop_2030_2050!F:F, MATCH($A44, Cooper_pop_2030_2050!B:B, 0)))-(INDEX(Cooper_pop_2030_2050!E:E, MATCH($A44, Cooper_pop_2030_2050!B:B, 0))))</f>
        <v>37643366.468177952</v>
      </c>
      <c r="W44">
        <f>(INDEX(Cooper_pop_2030_2050!E:E, MATCH($A44, Cooper_pop_2030_2050!B:B, 0)))+0.5*((INDEX(Cooper_pop_2030_2050!F:F, MATCH($A44, Cooper_pop_2030_2050!B:B, 0)))-(INDEX(Cooper_pop_2030_2050!E:E, MATCH($A44, Cooper_pop_2030_2050!B:B, 0))))</f>
        <v>38009947.006553322</v>
      </c>
      <c r="X44">
        <f>(INDEX(Cooper_pop_2030_2050!E:E, MATCH($A44, Cooper_pop_2030_2050!B:B, 0)))+0.6*((INDEX(Cooper_pop_2030_2050!F:F, MATCH($A44, Cooper_pop_2030_2050!B:B, 0)))-(INDEX(Cooper_pop_2030_2050!E:E, MATCH($A44, Cooper_pop_2030_2050!B:B, 0))))</f>
        <v>38376527.544928685</v>
      </c>
      <c r="Y44">
        <f>(INDEX(Cooper_pop_2030_2050!E:E, MATCH($A44, Cooper_pop_2030_2050!B:B, 0)))+0.7*((INDEX(Cooper_pop_2030_2050!F:F, MATCH($A44, Cooper_pop_2030_2050!B:B, 0)))-(INDEX(Cooper_pop_2030_2050!E:E, MATCH($A44, Cooper_pop_2030_2050!B:B, 0))))</f>
        <v>38743108.083304048</v>
      </c>
      <c r="Z44">
        <f>(INDEX(Cooper_pop_2030_2050!E:E, MATCH($A44, Cooper_pop_2030_2050!B:B, 0)))+0.8*((INDEX(Cooper_pop_2030_2050!F:F, MATCH($A44, Cooper_pop_2030_2050!B:B, 0)))-(INDEX(Cooper_pop_2030_2050!E:E, MATCH($A44, Cooper_pop_2030_2050!B:B, 0))))</f>
        <v>39109688.62167941</v>
      </c>
      <c r="AA44">
        <f>(INDEX(Cooper_pop_2030_2050!E:E, MATCH($A44, Cooper_pop_2030_2050!B:B, 0)))+0.9*((INDEX(Cooper_pop_2030_2050!F:F, MATCH($A44, Cooper_pop_2030_2050!B:B, 0)))-(INDEX(Cooper_pop_2030_2050!E:E, MATCH($A44, Cooper_pop_2030_2050!B:B, 0))))</f>
        <v>39476269.160054781</v>
      </c>
      <c r="AB44">
        <f>INDEX(Cooper_pop_2030_2050!F:F, MATCH($A44, Cooper_pop_2030_2050!B:B, 0))</f>
        <v>39842849.698430143</v>
      </c>
    </row>
    <row r="45" spans="1:28">
      <c r="A45" t="s">
        <v>2929</v>
      </c>
      <c r="B45">
        <f>IFERROR(INDEX(Census_pop_2020_2025!G:G, MATCH("."&amp;$A45, Census_pop_2020_2025!A:A, 0)),INDEX(Census_pop_2020_2025!G:G, MATCH($A45, Census_pop_2020_2025!A:A, 0)))</f>
        <v>3502983</v>
      </c>
      <c r="C45">
        <f>IFERROR(INDEX(Census_pop_2020_2025!H:H, MATCH("."&amp;$A45, Census_pop_2020_2025!A:A, 0)),INDEX(Census_pop_2020_2025!H:H, MATCH($A45, Census_pop_2020_2025!A:A, 0)))</f>
        <v>3538904</v>
      </c>
      <c r="D45">
        <f>(IFERROR(INDEX(Census_pop_2020_2025!H:H, MATCH("."&amp;$A45, Census_pop_2020_2025!A:A, 0)),INDEX(Census_pop_2020_2025!H:H, MATCH($A45, Census_pop_2020_2025!A:A, 0))))+0.2*((INDEX(Cooper_pop_2030_2050!D:D, MATCH($A45, Cooper_pop_2030_2050!B:B, 0)))-(IFERROR(INDEX(Census_pop_2020_2025!H:H, MATCH("."&amp;$A45, Census_pop_2020_2025!A:A, 0)),INDEX(Census_pop_2020_2025!H:H, MATCH($A45, Census_pop_2020_2025!A:A, 0)))))</f>
        <v>3570933.1663004612</v>
      </c>
      <c r="E45">
        <f>(IFERROR(INDEX(Census_pop_2020_2025!H:H, MATCH("."&amp;$A45, Census_pop_2020_2025!A:A, 0)),INDEX(Census_pop_2020_2025!H:H, MATCH($A45, Census_pop_2020_2025!A:A, 0))))+0.4*((INDEX(Cooper_pop_2030_2050!D:D, MATCH($A45, Cooper_pop_2030_2050!B:B, 0)))-(IFERROR(INDEX(Census_pop_2020_2025!H:H, MATCH("."&amp;$A45, Census_pop_2020_2025!A:A, 0)),INDEX(Census_pop_2020_2025!H:H, MATCH($A45, Census_pop_2020_2025!A:A, 0)))))</f>
        <v>3602962.3326009219</v>
      </c>
      <c r="F45">
        <f>(IFERROR(INDEX(Census_pop_2020_2025!H:H, MATCH("."&amp;$A45, Census_pop_2020_2025!A:A, 0)),INDEX(Census_pop_2020_2025!H:H, MATCH($A45, Census_pop_2020_2025!A:A, 0))))+0.6*((INDEX(Cooper_pop_2030_2050!D:D, MATCH($A45, Cooper_pop_2030_2050!B:B, 0)))-(IFERROR(INDEX(Census_pop_2020_2025!H:H, MATCH("."&amp;$A45, Census_pop_2020_2025!A:A, 0)),INDEX(Census_pop_2020_2025!H:H, MATCH($A45, Census_pop_2020_2025!A:A, 0)))))</f>
        <v>3634991.498901383</v>
      </c>
      <c r="G45">
        <f>(IFERROR(INDEX(Census_pop_2020_2025!H:H, MATCH("."&amp;$A45, Census_pop_2020_2025!A:A, 0)),INDEX(Census_pop_2020_2025!H:H, MATCH($A45, Census_pop_2020_2025!A:A, 0))))+0.8*((INDEX(Cooper_pop_2030_2050!D:D, MATCH($A45, Cooper_pop_2030_2050!B:B, 0)))-(IFERROR(INDEX(Census_pop_2020_2025!H:H, MATCH("."&amp;$A45, Census_pop_2020_2025!A:A, 0)),INDEX(Census_pop_2020_2025!H:H, MATCH($A45, Census_pop_2020_2025!A:A, 0)))))</f>
        <v>3667020.6652018437</v>
      </c>
      <c r="H45">
        <f>INDEX(Cooper_pop_2030_2050!D:D, MATCH($A45, Cooper_pop_2030_2050!B:B, 0))</f>
        <v>3699049.8315023049</v>
      </c>
      <c r="I45">
        <f>(INDEX(Cooper_pop_2030_2050!D:D, MATCH($A45, Cooper_pop_2030_2050!B:B, 0)))+0.1*((INDEX(Cooper_pop_2030_2050!E:E, MATCH($A45, Cooper_pop_2030_2050!B:B, 0)))-(INDEX(Cooper_pop_2030_2050!D:D, MATCH($A45, Cooper_pop_2030_2050!B:B, 0))))</f>
        <v>3750122.1321071181</v>
      </c>
      <c r="J45">
        <f>(INDEX(Cooper_pop_2030_2050!D:D, MATCH($A45, Cooper_pop_2030_2050!B:B, 0)))+0.2*((INDEX(Cooper_pop_2030_2050!E:E, MATCH($A45, Cooper_pop_2030_2050!B:B, 0)))-(INDEX(Cooper_pop_2030_2050!D:D, MATCH($A45, Cooper_pop_2030_2050!B:B, 0))))</f>
        <v>3801194.4327119314</v>
      </c>
      <c r="K45">
        <f>(INDEX(Cooper_pop_2030_2050!D:D, MATCH($A45, Cooper_pop_2030_2050!B:B, 0)))+0.3*((INDEX(Cooper_pop_2030_2050!E:E, MATCH($A45, Cooper_pop_2030_2050!B:B, 0)))-(INDEX(Cooper_pop_2030_2050!D:D, MATCH($A45, Cooper_pop_2030_2050!B:B, 0))))</f>
        <v>3852266.7333167447</v>
      </c>
      <c r="L45">
        <f>(INDEX(Cooper_pop_2030_2050!D:D, MATCH($A45, Cooper_pop_2030_2050!B:B, 0)))+0.4*((INDEX(Cooper_pop_2030_2050!E:E, MATCH($A45, Cooper_pop_2030_2050!B:B, 0)))-(INDEX(Cooper_pop_2030_2050!D:D, MATCH($A45, Cooper_pop_2030_2050!B:B, 0))))</f>
        <v>3903339.0339215579</v>
      </c>
      <c r="M45">
        <f>(INDEX(Cooper_pop_2030_2050!D:D, MATCH($A45, Cooper_pop_2030_2050!B:B, 0)))+0.5*((INDEX(Cooper_pop_2030_2050!E:E, MATCH($A45, Cooper_pop_2030_2050!B:B, 0)))-(INDEX(Cooper_pop_2030_2050!D:D, MATCH($A45, Cooper_pop_2030_2050!B:B, 0))))</f>
        <v>3954411.3345263712</v>
      </c>
      <c r="N45">
        <f>(INDEX(Cooper_pop_2030_2050!D:D, MATCH($A45, Cooper_pop_2030_2050!B:B, 0)))+0.6*((INDEX(Cooper_pop_2030_2050!E:E, MATCH($A45, Cooper_pop_2030_2050!B:B, 0)))-(INDEX(Cooper_pop_2030_2050!D:D, MATCH($A45, Cooper_pop_2030_2050!B:B, 0))))</f>
        <v>4005483.635131184</v>
      </c>
      <c r="O45">
        <f>(INDEX(Cooper_pop_2030_2050!D:D, MATCH($A45, Cooper_pop_2030_2050!B:B, 0)))+0.7*((INDEX(Cooper_pop_2030_2050!E:E, MATCH($A45, Cooper_pop_2030_2050!B:B, 0)))-(INDEX(Cooper_pop_2030_2050!D:D, MATCH($A45, Cooper_pop_2030_2050!B:B, 0))))</f>
        <v>4056555.9357359973</v>
      </c>
      <c r="P45">
        <f>(INDEX(Cooper_pop_2030_2050!D:D, MATCH($A45, Cooper_pop_2030_2050!B:B, 0)))+0.8*((INDEX(Cooper_pop_2030_2050!E:E, MATCH($A45, Cooper_pop_2030_2050!B:B, 0)))-(INDEX(Cooper_pop_2030_2050!D:D, MATCH($A45, Cooper_pop_2030_2050!B:B, 0))))</f>
        <v>4107628.2363408105</v>
      </c>
      <c r="Q45">
        <f>(INDEX(Cooper_pop_2030_2050!D:D, MATCH($A45, Cooper_pop_2030_2050!B:B, 0)))+0.9*((INDEX(Cooper_pop_2030_2050!E:E, MATCH($A45, Cooper_pop_2030_2050!B:B, 0)))-(INDEX(Cooper_pop_2030_2050!D:D, MATCH($A45, Cooper_pop_2030_2050!B:B, 0))))</f>
        <v>4158700.5369456238</v>
      </c>
      <c r="R45">
        <f>INDEX(Cooper_pop_2030_2050!E:E, MATCH($A45, Cooper_pop_2030_2050!B:B, 0))</f>
        <v>4209772.8375504371</v>
      </c>
      <c r="S45">
        <f>(INDEX(Cooper_pop_2030_2050!E:E, MATCH($A45, Cooper_pop_2030_2050!B:B, 0)))+0.1*((INDEX(Cooper_pop_2030_2050!F:F, MATCH($A45, Cooper_pop_2030_2050!B:B, 0)))-(INDEX(Cooper_pop_2030_2050!E:E, MATCH($A45, Cooper_pop_2030_2050!B:B, 0))))</f>
        <v>4262282.5672959378</v>
      </c>
      <c r="T45">
        <f>(INDEX(Cooper_pop_2030_2050!E:E, MATCH($A45, Cooper_pop_2030_2050!B:B, 0)))+0.2*((INDEX(Cooper_pop_2030_2050!F:F, MATCH($A45, Cooper_pop_2030_2050!B:B, 0)))-(INDEX(Cooper_pop_2030_2050!E:E, MATCH($A45, Cooper_pop_2030_2050!B:B, 0))))</f>
        <v>4314792.2970414385</v>
      </c>
      <c r="U45">
        <f>(INDEX(Cooper_pop_2030_2050!E:E, MATCH($A45, Cooper_pop_2030_2050!B:B, 0)))+0.3*((INDEX(Cooper_pop_2030_2050!F:F, MATCH($A45, Cooper_pop_2030_2050!B:B, 0)))-(INDEX(Cooper_pop_2030_2050!E:E, MATCH($A45, Cooper_pop_2030_2050!B:B, 0))))</f>
        <v>4367302.0267869402</v>
      </c>
      <c r="V45">
        <f>(INDEX(Cooper_pop_2030_2050!E:E, MATCH($A45, Cooper_pop_2030_2050!B:B, 0)))+0.4*((INDEX(Cooper_pop_2030_2050!F:F, MATCH($A45, Cooper_pop_2030_2050!B:B, 0)))-(INDEX(Cooper_pop_2030_2050!E:E, MATCH($A45, Cooper_pop_2030_2050!B:B, 0))))</f>
        <v>4419811.7565324409</v>
      </c>
      <c r="W45">
        <f>(INDEX(Cooper_pop_2030_2050!E:E, MATCH($A45, Cooper_pop_2030_2050!B:B, 0)))+0.5*((INDEX(Cooper_pop_2030_2050!F:F, MATCH($A45, Cooper_pop_2030_2050!B:B, 0)))-(INDEX(Cooper_pop_2030_2050!E:E, MATCH($A45, Cooper_pop_2030_2050!B:B, 0))))</f>
        <v>4472321.4862779416</v>
      </c>
      <c r="X45">
        <f>(INDEX(Cooper_pop_2030_2050!E:E, MATCH($A45, Cooper_pop_2030_2050!B:B, 0)))+0.6*((INDEX(Cooper_pop_2030_2050!F:F, MATCH($A45, Cooper_pop_2030_2050!B:B, 0)))-(INDEX(Cooper_pop_2030_2050!E:E, MATCH($A45, Cooper_pop_2030_2050!B:B, 0))))</f>
        <v>4524831.2160234423</v>
      </c>
      <c r="Y45">
        <f>(INDEX(Cooper_pop_2030_2050!E:E, MATCH($A45, Cooper_pop_2030_2050!B:B, 0)))+0.7*((INDEX(Cooper_pop_2030_2050!F:F, MATCH($A45, Cooper_pop_2030_2050!B:B, 0)))-(INDEX(Cooper_pop_2030_2050!E:E, MATCH($A45, Cooper_pop_2030_2050!B:B, 0))))</f>
        <v>4577340.9457689431</v>
      </c>
      <c r="Z45">
        <f>(INDEX(Cooper_pop_2030_2050!E:E, MATCH($A45, Cooper_pop_2030_2050!B:B, 0)))+0.8*((INDEX(Cooper_pop_2030_2050!F:F, MATCH($A45, Cooper_pop_2030_2050!B:B, 0)))-(INDEX(Cooper_pop_2030_2050!E:E, MATCH($A45, Cooper_pop_2030_2050!B:B, 0))))</f>
        <v>4629850.6755144447</v>
      </c>
      <c r="AA45">
        <f>(INDEX(Cooper_pop_2030_2050!E:E, MATCH($A45, Cooper_pop_2030_2050!B:B, 0)))+0.9*((INDEX(Cooper_pop_2030_2050!F:F, MATCH($A45, Cooper_pop_2030_2050!B:B, 0)))-(INDEX(Cooper_pop_2030_2050!E:E, MATCH($A45, Cooper_pop_2030_2050!B:B, 0))))</f>
        <v>4682360.4052599454</v>
      </c>
      <c r="AB45">
        <f>INDEX(Cooper_pop_2030_2050!F:F, MATCH($A45, Cooper_pop_2030_2050!B:B, 0))</f>
        <v>4734870.1350054462</v>
      </c>
    </row>
    <row r="46" spans="1:28">
      <c r="A46" t="s">
        <v>2930</v>
      </c>
      <c r="B46">
        <f>IFERROR(INDEX(Census_pop_2020_2025!G:G, MATCH("."&amp;$A46, Census_pop_2020_2025!A:A, 0)),INDEX(Census_pop_2020_2025!G:G, MATCH($A46, Census_pop_2020_2025!A:A, 0)))</f>
        <v>646521</v>
      </c>
      <c r="C46">
        <f>IFERROR(INDEX(Census_pop_2020_2025!H:H, MATCH("."&amp;$A46, Census_pop_2020_2025!A:A, 0)),INDEX(Census_pop_2020_2025!H:H, MATCH($A46, Census_pop_2020_2025!A:A, 0)))</f>
        <v>644663</v>
      </c>
      <c r="D46">
        <f>(IFERROR(INDEX(Census_pop_2020_2025!H:H, MATCH("."&amp;$A46, Census_pop_2020_2025!A:A, 0)),INDEX(Census_pop_2020_2025!H:H, MATCH($A46, Census_pop_2020_2025!A:A, 0))))+0.2*((INDEX(Cooper_pop_2030_2050!D:D, MATCH($A46, Cooper_pop_2030_2050!B:B, 0)))-(IFERROR(INDEX(Census_pop_2020_2025!H:H, MATCH("."&amp;$A46, Census_pop_2020_2025!A:A, 0)),INDEX(Census_pop_2020_2025!H:H, MATCH($A46, Census_pop_2020_2025!A:A, 0)))))</f>
        <v>646994.22896022478</v>
      </c>
      <c r="E46">
        <f>(IFERROR(INDEX(Census_pop_2020_2025!H:H, MATCH("."&amp;$A46, Census_pop_2020_2025!A:A, 0)),INDEX(Census_pop_2020_2025!H:H, MATCH($A46, Census_pop_2020_2025!A:A, 0))))+0.4*((INDEX(Cooper_pop_2030_2050!D:D, MATCH($A46, Cooper_pop_2030_2050!B:B, 0)))-(IFERROR(INDEX(Census_pop_2020_2025!H:H, MATCH("."&amp;$A46, Census_pop_2020_2025!A:A, 0)),INDEX(Census_pop_2020_2025!H:H, MATCH($A46, Census_pop_2020_2025!A:A, 0)))))</f>
        <v>649325.45792044955</v>
      </c>
      <c r="F46">
        <f>(IFERROR(INDEX(Census_pop_2020_2025!H:H, MATCH("."&amp;$A46, Census_pop_2020_2025!A:A, 0)),INDEX(Census_pop_2020_2025!H:H, MATCH($A46, Census_pop_2020_2025!A:A, 0))))+0.6*((INDEX(Cooper_pop_2030_2050!D:D, MATCH($A46, Cooper_pop_2030_2050!B:B, 0)))-(IFERROR(INDEX(Census_pop_2020_2025!H:H, MATCH("."&amp;$A46, Census_pop_2020_2025!A:A, 0)),INDEX(Census_pop_2020_2025!H:H, MATCH($A46, Census_pop_2020_2025!A:A, 0)))))</f>
        <v>651656.68688067421</v>
      </c>
      <c r="G46">
        <f>(IFERROR(INDEX(Census_pop_2020_2025!H:H, MATCH("."&amp;$A46, Census_pop_2020_2025!A:A, 0)),INDEX(Census_pop_2020_2025!H:H, MATCH($A46, Census_pop_2020_2025!A:A, 0))))+0.8*((INDEX(Cooper_pop_2030_2050!D:D, MATCH($A46, Cooper_pop_2030_2050!B:B, 0)))-(IFERROR(INDEX(Census_pop_2020_2025!H:H, MATCH("."&amp;$A46, Census_pop_2020_2025!A:A, 0)),INDEX(Census_pop_2020_2025!H:H, MATCH($A46, Census_pop_2020_2025!A:A, 0)))))</f>
        <v>653987.91584089899</v>
      </c>
      <c r="H46">
        <f>INDEX(Cooper_pop_2030_2050!D:D, MATCH($A46, Cooper_pop_2030_2050!B:B, 0))</f>
        <v>656319.14480112377</v>
      </c>
      <c r="I46">
        <f>(INDEX(Cooper_pop_2030_2050!D:D, MATCH($A46, Cooper_pop_2030_2050!B:B, 0)))+0.1*((INDEX(Cooper_pop_2030_2050!E:E, MATCH($A46, Cooper_pop_2030_2050!B:B, 0)))-(INDEX(Cooper_pop_2030_2050!D:D, MATCH($A46, Cooper_pop_2030_2050!B:B, 0))))</f>
        <v>655537.16800940968</v>
      </c>
      <c r="J46">
        <f>(INDEX(Cooper_pop_2030_2050!D:D, MATCH($A46, Cooper_pop_2030_2050!B:B, 0)))+0.2*((INDEX(Cooper_pop_2030_2050!E:E, MATCH($A46, Cooper_pop_2030_2050!B:B, 0)))-(INDEX(Cooper_pop_2030_2050!D:D, MATCH($A46, Cooper_pop_2030_2050!B:B, 0))))</f>
        <v>654755.19121769548</v>
      </c>
      <c r="K46">
        <f>(INDEX(Cooper_pop_2030_2050!D:D, MATCH($A46, Cooper_pop_2030_2050!B:B, 0)))+0.3*((INDEX(Cooper_pop_2030_2050!E:E, MATCH($A46, Cooper_pop_2030_2050!B:B, 0)))-(INDEX(Cooper_pop_2030_2050!D:D, MATCH($A46, Cooper_pop_2030_2050!B:B, 0))))</f>
        <v>653973.21442598139</v>
      </c>
      <c r="L46">
        <f>(INDEX(Cooper_pop_2030_2050!D:D, MATCH($A46, Cooper_pop_2030_2050!B:B, 0)))+0.4*((INDEX(Cooper_pop_2030_2050!E:E, MATCH($A46, Cooper_pop_2030_2050!B:B, 0)))-(INDEX(Cooper_pop_2030_2050!D:D, MATCH($A46, Cooper_pop_2030_2050!B:B, 0))))</f>
        <v>653191.23763426719</v>
      </c>
      <c r="M46">
        <f>(INDEX(Cooper_pop_2030_2050!D:D, MATCH($A46, Cooper_pop_2030_2050!B:B, 0)))+0.5*((INDEX(Cooper_pop_2030_2050!E:E, MATCH($A46, Cooper_pop_2030_2050!B:B, 0)))-(INDEX(Cooper_pop_2030_2050!D:D, MATCH($A46, Cooper_pop_2030_2050!B:B, 0))))</f>
        <v>652409.26084255311</v>
      </c>
      <c r="N46">
        <f>(INDEX(Cooper_pop_2030_2050!D:D, MATCH($A46, Cooper_pop_2030_2050!B:B, 0)))+0.6*((INDEX(Cooper_pop_2030_2050!E:E, MATCH($A46, Cooper_pop_2030_2050!B:B, 0)))-(INDEX(Cooper_pop_2030_2050!D:D, MATCH($A46, Cooper_pop_2030_2050!B:B, 0))))</f>
        <v>651627.28405083902</v>
      </c>
      <c r="O46">
        <f>(INDEX(Cooper_pop_2030_2050!D:D, MATCH($A46, Cooper_pop_2030_2050!B:B, 0)))+0.7*((INDEX(Cooper_pop_2030_2050!E:E, MATCH($A46, Cooper_pop_2030_2050!B:B, 0)))-(INDEX(Cooper_pop_2030_2050!D:D, MATCH($A46, Cooper_pop_2030_2050!B:B, 0))))</f>
        <v>650845.30725912482</v>
      </c>
      <c r="P46">
        <f>(INDEX(Cooper_pop_2030_2050!D:D, MATCH($A46, Cooper_pop_2030_2050!B:B, 0)))+0.8*((INDEX(Cooper_pop_2030_2050!E:E, MATCH($A46, Cooper_pop_2030_2050!B:B, 0)))-(INDEX(Cooper_pop_2030_2050!D:D, MATCH($A46, Cooper_pop_2030_2050!B:B, 0))))</f>
        <v>650063.33046741073</v>
      </c>
      <c r="Q46">
        <f>(INDEX(Cooper_pop_2030_2050!D:D, MATCH($A46, Cooper_pop_2030_2050!B:B, 0)))+0.9*((INDEX(Cooper_pop_2030_2050!E:E, MATCH($A46, Cooper_pop_2030_2050!B:B, 0)))-(INDEX(Cooper_pop_2030_2050!D:D, MATCH($A46, Cooper_pop_2030_2050!B:B, 0))))</f>
        <v>649281.35367569653</v>
      </c>
      <c r="R46">
        <f>INDEX(Cooper_pop_2030_2050!E:E, MATCH($A46, Cooper_pop_2030_2050!B:B, 0))</f>
        <v>648499.37688398245</v>
      </c>
      <c r="S46">
        <f>(INDEX(Cooper_pop_2030_2050!E:E, MATCH($A46, Cooper_pop_2030_2050!B:B, 0)))+0.1*((INDEX(Cooper_pop_2030_2050!F:F, MATCH($A46, Cooper_pop_2030_2050!B:B, 0)))-(INDEX(Cooper_pop_2030_2050!E:E, MATCH($A46, Cooper_pop_2030_2050!B:B, 0))))</f>
        <v>646975.86606679542</v>
      </c>
      <c r="T46">
        <f>(INDEX(Cooper_pop_2030_2050!E:E, MATCH($A46, Cooper_pop_2030_2050!B:B, 0)))+0.2*((INDEX(Cooper_pop_2030_2050!F:F, MATCH($A46, Cooper_pop_2030_2050!B:B, 0)))-(INDEX(Cooper_pop_2030_2050!E:E, MATCH($A46, Cooper_pop_2030_2050!B:B, 0))))</f>
        <v>645452.35524960852</v>
      </c>
      <c r="U46">
        <f>(INDEX(Cooper_pop_2030_2050!E:E, MATCH($A46, Cooper_pop_2030_2050!B:B, 0)))+0.3*((INDEX(Cooper_pop_2030_2050!F:F, MATCH($A46, Cooper_pop_2030_2050!B:B, 0)))-(INDEX(Cooper_pop_2030_2050!E:E, MATCH($A46, Cooper_pop_2030_2050!B:B, 0))))</f>
        <v>643928.84443242149</v>
      </c>
      <c r="V46">
        <f>(INDEX(Cooper_pop_2030_2050!E:E, MATCH($A46, Cooper_pop_2030_2050!B:B, 0)))+0.4*((INDEX(Cooper_pop_2030_2050!F:F, MATCH($A46, Cooper_pop_2030_2050!B:B, 0)))-(INDEX(Cooper_pop_2030_2050!E:E, MATCH($A46, Cooper_pop_2030_2050!B:B, 0))))</f>
        <v>642405.33361523447</v>
      </c>
      <c r="W46">
        <f>(INDEX(Cooper_pop_2030_2050!E:E, MATCH($A46, Cooper_pop_2030_2050!B:B, 0)))+0.5*((INDEX(Cooper_pop_2030_2050!F:F, MATCH($A46, Cooper_pop_2030_2050!B:B, 0)))-(INDEX(Cooper_pop_2030_2050!E:E, MATCH($A46, Cooper_pop_2030_2050!B:B, 0))))</f>
        <v>640881.82279804745</v>
      </c>
      <c r="X46">
        <f>(INDEX(Cooper_pop_2030_2050!E:E, MATCH($A46, Cooper_pop_2030_2050!B:B, 0)))+0.6*((INDEX(Cooper_pop_2030_2050!F:F, MATCH($A46, Cooper_pop_2030_2050!B:B, 0)))-(INDEX(Cooper_pop_2030_2050!E:E, MATCH($A46, Cooper_pop_2030_2050!B:B, 0))))</f>
        <v>639358.31198086054</v>
      </c>
      <c r="Y46">
        <f>(INDEX(Cooper_pop_2030_2050!E:E, MATCH($A46, Cooper_pop_2030_2050!B:B, 0)))+0.7*((INDEX(Cooper_pop_2030_2050!F:F, MATCH($A46, Cooper_pop_2030_2050!B:B, 0)))-(INDEX(Cooper_pop_2030_2050!E:E, MATCH($A46, Cooper_pop_2030_2050!B:B, 0))))</f>
        <v>637834.80116367352</v>
      </c>
      <c r="Z46">
        <f>(INDEX(Cooper_pop_2030_2050!E:E, MATCH($A46, Cooper_pop_2030_2050!B:B, 0)))+0.8*((INDEX(Cooper_pop_2030_2050!F:F, MATCH($A46, Cooper_pop_2030_2050!B:B, 0)))-(INDEX(Cooper_pop_2030_2050!E:E, MATCH($A46, Cooper_pop_2030_2050!B:B, 0))))</f>
        <v>636311.29034648649</v>
      </c>
      <c r="AA46">
        <f>(INDEX(Cooper_pop_2030_2050!E:E, MATCH($A46, Cooper_pop_2030_2050!B:B, 0)))+0.9*((INDEX(Cooper_pop_2030_2050!F:F, MATCH($A46, Cooper_pop_2030_2050!B:B, 0)))-(INDEX(Cooper_pop_2030_2050!E:E, MATCH($A46, Cooper_pop_2030_2050!B:B, 0))))</f>
        <v>634787.77952929959</v>
      </c>
      <c r="AB46">
        <f>INDEX(Cooper_pop_2030_2050!F:F, MATCH($A46, Cooper_pop_2030_2050!B:B, 0))</f>
        <v>633264.26871211256</v>
      </c>
    </row>
    <row r="47" spans="1:28">
      <c r="A47" t="s">
        <v>2931</v>
      </c>
      <c r="B47">
        <f>IFERROR(INDEX(Census_pop_2020_2025!G:G, MATCH("."&amp;$A47, Census_pop_2020_2025!A:A, 0)),INDEX(Census_pop_2020_2025!G:G, MATCH($A47, Census_pop_2020_2025!A:A, 0)))</f>
        <v>8819642</v>
      </c>
      <c r="C47">
        <f>IFERROR(INDEX(Census_pop_2020_2025!H:H, MATCH("."&amp;$A47, Census_pop_2020_2025!A:A, 0)),INDEX(Census_pop_2020_2025!H:H, MATCH($A47, Census_pop_2020_2025!A:A, 0)))</f>
        <v>8880107</v>
      </c>
      <c r="D47">
        <f>(IFERROR(INDEX(Census_pop_2020_2025!H:H, MATCH("."&amp;$A47, Census_pop_2020_2025!A:A, 0)),INDEX(Census_pop_2020_2025!H:H, MATCH($A47, Census_pop_2020_2025!A:A, 0))))+0.2*((INDEX(Cooper_pop_2030_2050!D:D, MATCH($A47, Cooper_pop_2030_2050!B:B, 0)))-(IFERROR(INDEX(Census_pop_2020_2025!H:H, MATCH("."&amp;$A47, Census_pop_2020_2025!A:A, 0)),INDEX(Census_pop_2020_2025!H:H, MATCH($A47, Census_pop_2020_2025!A:A, 0)))))</f>
        <v>8929885.9777492601</v>
      </c>
      <c r="E47">
        <f>(IFERROR(INDEX(Census_pop_2020_2025!H:H, MATCH("."&amp;$A47, Census_pop_2020_2025!A:A, 0)),INDEX(Census_pop_2020_2025!H:H, MATCH($A47, Census_pop_2020_2025!A:A, 0))))+0.4*((INDEX(Cooper_pop_2030_2050!D:D, MATCH($A47, Cooper_pop_2030_2050!B:B, 0)))-(IFERROR(INDEX(Census_pop_2020_2025!H:H, MATCH("."&amp;$A47, Census_pop_2020_2025!A:A, 0)),INDEX(Census_pop_2020_2025!H:H, MATCH($A47, Census_pop_2020_2025!A:A, 0)))))</f>
        <v>8979664.9554985203</v>
      </c>
      <c r="F47">
        <f>(IFERROR(INDEX(Census_pop_2020_2025!H:H, MATCH("."&amp;$A47, Census_pop_2020_2025!A:A, 0)),INDEX(Census_pop_2020_2025!H:H, MATCH($A47, Census_pop_2020_2025!A:A, 0))))+0.6*((INDEX(Cooper_pop_2030_2050!D:D, MATCH($A47, Cooper_pop_2030_2050!B:B, 0)))-(IFERROR(INDEX(Census_pop_2020_2025!H:H, MATCH("."&amp;$A47, Census_pop_2020_2025!A:A, 0)),INDEX(Census_pop_2020_2025!H:H, MATCH($A47, Census_pop_2020_2025!A:A, 0)))))</f>
        <v>9029443.9332477823</v>
      </c>
      <c r="G47">
        <f>(IFERROR(INDEX(Census_pop_2020_2025!H:H, MATCH("."&amp;$A47, Census_pop_2020_2025!A:A, 0)),INDEX(Census_pop_2020_2025!H:H, MATCH($A47, Census_pop_2020_2025!A:A, 0))))+0.8*((INDEX(Cooper_pop_2030_2050!D:D, MATCH($A47, Cooper_pop_2030_2050!B:B, 0)))-(IFERROR(INDEX(Census_pop_2020_2025!H:H, MATCH("."&amp;$A47, Census_pop_2020_2025!A:A, 0)),INDEX(Census_pop_2020_2025!H:H, MATCH($A47, Census_pop_2020_2025!A:A, 0)))))</f>
        <v>9079222.9109970424</v>
      </c>
      <c r="H47">
        <f>INDEX(Cooper_pop_2030_2050!D:D, MATCH($A47, Cooper_pop_2030_2050!B:B, 0))</f>
        <v>9129001.8887463026</v>
      </c>
      <c r="I47">
        <f>(INDEX(Cooper_pop_2030_2050!D:D, MATCH($A47, Cooper_pop_2030_2050!B:B, 0)))+0.1*((INDEX(Cooper_pop_2030_2050!E:E, MATCH($A47, Cooper_pop_2030_2050!B:B, 0)))-(INDEX(Cooper_pop_2030_2050!D:D, MATCH($A47, Cooper_pop_2030_2050!B:B, 0))))</f>
        <v>9162959.4539246541</v>
      </c>
      <c r="J47">
        <f>(INDEX(Cooper_pop_2030_2050!D:D, MATCH($A47, Cooper_pop_2030_2050!B:B, 0)))+0.2*((INDEX(Cooper_pop_2030_2050!E:E, MATCH($A47, Cooper_pop_2030_2050!B:B, 0)))-(INDEX(Cooper_pop_2030_2050!D:D, MATCH($A47, Cooper_pop_2030_2050!B:B, 0))))</f>
        <v>9196917.0191030055</v>
      </c>
      <c r="K47">
        <f>(INDEX(Cooper_pop_2030_2050!D:D, MATCH($A47, Cooper_pop_2030_2050!B:B, 0)))+0.3*((INDEX(Cooper_pop_2030_2050!E:E, MATCH($A47, Cooper_pop_2030_2050!B:B, 0)))-(INDEX(Cooper_pop_2030_2050!D:D, MATCH($A47, Cooper_pop_2030_2050!B:B, 0))))</f>
        <v>9230874.584281357</v>
      </c>
      <c r="L47">
        <f>(INDEX(Cooper_pop_2030_2050!D:D, MATCH($A47, Cooper_pop_2030_2050!B:B, 0)))+0.4*((INDEX(Cooper_pop_2030_2050!E:E, MATCH($A47, Cooper_pop_2030_2050!B:B, 0)))-(INDEX(Cooper_pop_2030_2050!D:D, MATCH($A47, Cooper_pop_2030_2050!B:B, 0))))</f>
        <v>9264832.1494597085</v>
      </c>
      <c r="M47">
        <f>(INDEX(Cooper_pop_2030_2050!D:D, MATCH($A47, Cooper_pop_2030_2050!B:B, 0)))+0.5*((INDEX(Cooper_pop_2030_2050!E:E, MATCH($A47, Cooper_pop_2030_2050!B:B, 0)))-(INDEX(Cooper_pop_2030_2050!D:D, MATCH($A47, Cooper_pop_2030_2050!B:B, 0))))</f>
        <v>9298789.7146380618</v>
      </c>
      <c r="N47">
        <f>(INDEX(Cooper_pop_2030_2050!D:D, MATCH($A47, Cooper_pop_2030_2050!B:B, 0)))+0.6*((INDEX(Cooper_pop_2030_2050!E:E, MATCH($A47, Cooper_pop_2030_2050!B:B, 0)))-(INDEX(Cooper_pop_2030_2050!D:D, MATCH($A47, Cooper_pop_2030_2050!B:B, 0))))</f>
        <v>9332747.2798164133</v>
      </c>
      <c r="O47">
        <f>(INDEX(Cooper_pop_2030_2050!D:D, MATCH($A47, Cooper_pop_2030_2050!B:B, 0)))+0.7*((INDEX(Cooper_pop_2030_2050!E:E, MATCH($A47, Cooper_pop_2030_2050!B:B, 0)))-(INDEX(Cooper_pop_2030_2050!D:D, MATCH($A47, Cooper_pop_2030_2050!B:B, 0))))</f>
        <v>9366704.8449947648</v>
      </c>
      <c r="P47">
        <f>(INDEX(Cooper_pop_2030_2050!D:D, MATCH($A47, Cooper_pop_2030_2050!B:B, 0)))+0.8*((INDEX(Cooper_pop_2030_2050!E:E, MATCH($A47, Cooper_pop_2030_2050!B:B, 0)))-(INDEX(Cooper_pop_2030_2050!D:D, MATCH($A47, Cooper_pop_2030_2050!B:B, 0))))</f>
        <v>9400662.4101731163</v>
      </c>
      <c r="Q47">
        <f>(INDEX(Cooper_pop_2030_2050!D:D, MATCH($A47, Cooper_pop_2030_2050!B:B, 0)))+0.9*((INDEX(Cooper_pop_2030_2050!E:E, MATCH($A47, Cooper_pop_2030_2050!B:B, 0)))-(INDEX(Cooper_pop_2030_2050!D:D, MATCH($A47, Cooper_pop_2030_2050!B:B, 0))))</f>
        <v>9434619.9753514677</v>
      </c>
      <c r="R47">
        <f>INDEX(Cooper_pop_2030_2050!E:E, MATCH($A47, Cooper_pop_2030_2050!B:B, 0))</f>
        <v>9468577.5405298192</v>
      </c>
      <c r="S47">
        <f>(INDEX(Cooper_pop_2030_2050!E:E, MATCH($A47, Cooper_pop_2030_2050!B:B, 0)))+0.1*((INDEX(Cooper_pop_2030_2050!F:F, MATCH($A47, Cooper_pop_2030_2050!B:B, 0)))-(INDEX(Cooper_pop_2030_2050!E:E, MATCH($A47, Cooper_pop_2030_2050!B:B, 0))))</f>
        <v>9492290.3464380205</v>
      </c>
      <c r="T47">
        <f>(INDEX(Cooper_pop_2030_2050!E:E, MATCH($A47, Cooper_pop_2030_2050!B:B, 0)))+0.2*((INDEX(Cooper_pop_2030_2050!F:F, MATCH($A47, Cooper_pop_2030_2050!B:B, 0)))-(INDEX(Cooper_pop_2030_2050!E:E, MATCH($A47, Cooper_pop_2030_2050!B:B, 0))))</f>
        <v>9516003.1523462217</v>
      </c>
      <c r="U47">
        <f>(INDEX(Cooper_pop_2030_2050!E:E, MATCH($A47, Cooper_pop_2030_2050!B:B, 0)))+0.3*((INDEX(Cooper_pop_2030_2050!F:F, MATCH($A47, Cooper_pop_2030_2050!B:B, 0)))-(INDEX(Cooper_pop_2030_2050!E:E, MATCH($A47, Cooper_pop_2030_2050!B:B, 0))))</f>
        <v>9539715.958254423</v>
      </c>
      <c r="V47">
        <f>(INDEX(Cooper_pop_2030_2050!E:E, MATCH($A47, Cooper_pop_2030_2050!B:B, 0)))+0.4*((INDEX(Cooper_pop_2030_2050!F:F, MATCH($A47, Cooper_pop_2030_2050!B:B, 0)))-(INDEX(Cooper_pop_2030_2050!E:E, MATCH($A47, Cooper_pop_2030_2050!B:B, 0))))</f>
        <v>9563428.7641626243</v>
      </c>
      <c r="W47">
        <f>(INDEX(Cooper_pop_2030_2050!E:E, MATCH($A47, Cooper_pop_2030_2050!B:B, 0)))+0.5*((INDEX(Cooper_pop_2030_2050!F:F, MATCH($A47, Cooper_pop_2030_2050!B:B, 0)))-(INDEX(Cooper_pop_2030_2050!E:E, MATCH($A47, Cooper_pop_2030_2050!B:B, 0))))</f>
        <v>9587141.5700708255</v>
      </c>
      <c r="X47">
        <f>(INDEX(Cooper_pop_2030_2050!E:E, MATCH($A47, Cooper_pop_2030_2050!B:B, 0)))+0.6*((INDEX(Cooper_pop_2030_2050!F:F, MATCH($A47, Cooper_pop_2030_2050!B:B, 0)))-(INDEX(Cooper_pop_2030_2050!E:E, MATCH($A47, Cooper_pop_2030_2050!B:B, 0))))</f>
        <v>9610854.3759790268</v>
      </c>
      <c r="Y47">
        <f>(INDEX(Cooper_pop_2030_2050!E:E, MATCH($A47, Cooper_pop_2030_2050!B:B, 0)))+0.7*((INDEX(Cooper_pop_2030_2050!F:F, MATCH($A47, Cooper_pop_2030_2050!B:B, 0)))-(INDEX(Cooper_pop_2030_2050!E:E, MATCH($A47, Cooper_pop_2030_2050!B:B, 0))))</f>
        <v>9634567.181887228</v>
      </c>
      <c r="Z47">
        <f>(INDEX(Cooper_pop_2030_2050!E:E, MATCH($A47, Cooper_pop_2030_2050!B:B, 0)))+0.8*((INDEX(Cooper_pop_2030_2050!F:F, MATCH($A47, Cooper_pop_2030_2050!B:B, 0)))-(INDEX(Cooper_pop_2030_2050!E:E, MATCH($A47, Cooper_pop_2030_2050!B:B, 0))))</f>
        <v>9658279.9877954293</v>
      </c>
      <c r="AA47">
        <f>(INDEX(Cooper_pop_2030_2050!E:E, MATCH($A47, Cooper_pop_2030_2050!B:B, 0)))+0.9*((INDEX(Cooper_pop_2030_2050!F:F, MATCH($A47, Cooper_pop_2030_2050!B:B, 0)))-(INDEX(Cooper_pop_2030_2050!E:E, MATCH($A47, Cooper_pop_2030_2050!B:B, 0))))</f>
        <v>9681992.7937036306</v>
      </c>
      <c r="AB47">
        <f>INDEX(Cooper_pop_2030_2050!F:F, MATCH($A47, Cooper_pop_2030_2050!B:B, 0))</f>
        <v>9705705.5996118318</v>
      </c>
    </row>
    <row r="48" spans="1:28">
      <c r="A48" t="s">
        <v>2932</v>
      </c>
      <c r="B48">
        <f>IFERROR(INDEX(Census_pop_2020_2025!G:G, MATCH("."&amp;$A48, Census_pop_2020_2025!A:A, 0)),INDEX(Census_pop_2020_2025!G:G, MATCH($A48, Census_pop_2020_2025!A:A, 0)))</f>
        <v>7927958</v>
      </c>
      <c r="C48">
        <f>IFERROR(INDEX(Census_pop_2020_2025!H:H, MATCH("."&amp;$A48, Census_pop_2020_2025!A:A, 0)),INDEX(Census_pop_2020_2025!H:H, MATCH($A48, Census_pop_2020_2025!A:A, 0)))</f>
        <v>8001020</v>
      </c>
      <c r="D48">
        <f>(IFERROR(INDEX(Census_pop_2020_2025!H:H, MATCH("."&amp;$A48, Census_pop_2020_2025!A:A, 0)),INDEX(Census_pop_2020_2025!H:H, MATCH($A48, Census_pop_2020_2025!A:A, 0))))+0.2*((INDEX(Cooper_pop_2030_2050!D:D, MATCH($A48, Cooper_pop_2030_2050!B:B, 0)))-(IFERROR(INDEX(Census_pop_2020_2025!H:H, MATCH("."&amp;$A48, Census_pop_2020_2025!A:A, 0)),INDEX(Census_pop_2020_2025!H:H, MATCH($A48, Census_pop_2020_2025!A:A, 0)))))</f>
        <v>8103286.9738773359</v>
      </c>
      <c r="E48">
        <f>(IFERROR(INDEX(Census_pop_2020_2025!H:H, MATCH("."&amp;$A48, Census_pop_2020_2025!A:A, 0)),INDEX(Census_pop_2020_2025!H:H, MATCH($A48, Census_pop_2020_2025!A:A, 0))))+0.4*((INDEX(Cooper_pop_2030_2050!D:D, MATCH($A48, Cooper_pop_2030_2050!B:B, 0)))-(IFERROR(INDEX(Census_pop_2020_2025!H:H, MATCH("."&amp;$A48, Census_pop_2020_2025!A:A, 0)),INDEX(Census_pop_2020_2025!H:H, MATCH($A48, Census_pop_2020_2025!A:A, 0)))))</f>
        <v>8205553.9477546718</v>
      </c>
      <c r="F48">
        <f>(IFERROR(INDEX(Census_pop_2020_2025!H:H, MATCH("."&amp;$A48, Census_pop_2020_2025!A:A, 0)),INDEX(Census_pop_2020_2025!H:H, MATCH($A48, Census_pop_2020_2025!A:A, 0))))+0.6*((INDEX(Cooper_pop_2030_2050!D:D, MATCH($A48, Cooper_pop_2030_2050!B:B, 0)))-(IFERROR(INDEX(Census_pop_2020_2025!H:H, MATCH("."&amp;$A48, Census_pop_2020_2025!A:A, 0)),INDEX(Census_pop_2020_2025!H:H, MATCH($A48, Census_pop_2020_2025!A:A, 0)))))</f>
        <v>8307820.9216320068</v>
      </c>
      <c r="G48">
        <f>(IFERROR(INDEX(Census_pop_2020_2025!H:H, MATCH("."&amp;$A48, Census_pop_2020_2025!A:A, 0)),INDEX(Census_pop_2020_2025!H:H, MATCH($A48, Census_pop_2020_2025!A:A, 0))))+0.8*((INDEX(Cooper_pop_2030_2050!D:D, MATCH($A48, Cooper_pop_2030_2050!B:B, 0)))-(IFERROR(INDEX(Census_pop_2020_2025!H:H, MATCH("."&amp;$A48, Census_pop_2020_2025!A:A, 0)),INDEX(Census_pop_2020_2025!H:H, MATCH($A48, Census_pop_2020_2025!A:A, 0)))))</f>
        <v>8410087.8955093436</v>
      </c>
      <c r="H48">
        <f>INDEX(Cooper_pop_2030_2050!D:D, MATCH($A48, Cooper_pop_2030_2050!B:B, 0))</f>
        <v>8512354.8693866786</v>
      </c>
      <c r="I48">
        <f>(INDEX(Cooper_pop_2030_2050!D:D, MATCH($A48, Cooper_pop_2030_2050!B:B, 0)))+0.1*((INDEX(Cooper_pop_2030_2050!E:E, MATCH($A48, Cooper_pop_2030_2050!B:B, 0)))-(INDEX(Cooper_pop_2030_2050!D:D, MATCH($A48, Cooper_pop_2030_2050!B:B, 0))))</f>
        <v>8598901.0655977149</v>
      </c>
      <c r="J48">
        <f>(INDEX(Cooper_pop_2030_2050!D:D, MATCH($A48, Cooper_pop_2030_2050!B:B, 0)))+0.2*((INDEX(Cooper_pop_2030_2050!E:E, MATCH($A48, Cooper_pop_2030_2050!B:B, 0)))-(INDEX(Cooper_pop_2030_2050!D:D, MATCH($A48, Cooper_pop_2030_2050!B:B, 0))))</f>
        <v>8685447.261808753</v>
      </c>
      <c r="K48">
        <f>(INDEX(Cooper_pop_2030_2050!D:D, MATCH($A48, Cooper_pop_2030_2050!B:B, 0)))+0.3*((INDEX(Cooper_pop_2030_2050!E:E, MATCH($A48, Cooper_pop_2030_2050!B:B, 0)))-(INDEX(Cooper_pop_2030_2050!D:D, MATCH($A48, Cooper_pop_2030_2050!B:B, 0))))</f>
        <v>8771993.4580197893</v>
      </c>
      <c r="L48">
        <f>(INDEX(Cooper_pop_2030_2050!D:D, MATCH($A48, Cooper_pop_2030_2050!B:B, 0)))+0.4*((INDEX(Cooper_pop_2030_2050!E:E, MATCH($A48, Cooper_pop_2030_2050!B:B, 0)))-(INDEX(Cooper_pop_2030_2050!D:D, MATCH($A48, Cooper_pop_2030_2050!B:B, 0))))</f>
        <v>8858539.6542308275</v>
      </c>
      <c r="M48">
        <f>(INDEX(Cooper_pop_2030_2050!D:D, MATCH($A48, Cooper_pop_2030_2050!B:B, 0)))+0.5*((INDEX(Cooper_pop_2030_2050!E:E, MATCH($A48, Cooper_pop_2030_2050!B:B, 0)))-(INDEX(Cooper_pop_2030_2050!D:D, MATCH($A48, Cooper_pop_2030_2050!B:B, 0))))</f>
        <v>8945085.8504418638</v>
      </c>
      <c r="N48">
        <f>(INDEX(Cooper_pop_2030_2050!D:D, MATCH($A48, Cooper_pop_2030_2050!B:B, 0)))+0.6*((INDEX(Cooper_pop_2030_2050!E:E, MATCH($A48, Cooper_pop_2030_2050!B:B, 0)))-(INDEX(Cooper_pop_2030_2050!D:D, MATCH($A48, Cooper_pop_2030_2050!B:B, 0))))</f>
        <v>9031632.0466529001</v>
      </c>
      <c r="O48">
        <f>(INDEX(Cooper_pop_2030_2050!D:D, MATCH($A48, Cooper_pop_2030_2050!B:B, 0)))+0.7*((INDEX(Cooper_pop_2030_2050!E:E, MATCH($A48, Cooper_pop_2030_2050!B:B, 0)))-(INDEX(Cooper_pop_2030_2050!D:D, MATCH($A48, Cooper_pop_2030_2050!B:B, 0))))</f>
        <v>9118178.2428639382</v>
      </c>
      <c r="P48">
        <f>(INDEX(Cooper_pop_2030_2050!D:D, MATCH($A48, Cooper_pop_2030_2050!B:B, 0)))+0.8*((INDEX(Cooper_pop_2030_2050!E:E, MATCH($A48, Cooper_pop_2030_2050!B:B, 0)))-(INDEX(Cooper_pop_2030_2050!D:D, MATCH($A48, Cooper_pop_2030_2050!B:B, 0))))</f>
        <v>9204724.4390749745</v>
      </c>
      <c r="Q48">
        <f>(INDEX(Cooper_pop_2030_2050!D:D, MATCH($A48, Cooper_pop_2030_2050!B:B, 0)))+0.9*((INDEX(Cooper_pop_2030_2050!E:E, MATCH($A48, Cooper_pop_2030_2050!B:B, 0)))-(INDEX(Cooper_pop_2030_2050!D:D, MATCH($A48, Cooper_pop_2030_2050!B:B, 0))))</f>
        <v>9291270.6352860127</v>
      </c>
      <c r="R48">
        <f>INDEX(Cooper_pop_2030_2050!E:E, MATCH($A48, Cooper_pop_2030_2050!B:B, 0))</f>
        <v>9377816.831497049</v>
      </c>
      <c r="S48">
        <f>(INDEX(Cooper_pop_2030_2050!E:E, MATCH($A48, Cooper_pop_2030_2050!B:B, 0)))+0.1*((INDEX(Cooper_pop_2030_2050!F:F, MATCH($A48, Cooper_pop_2030_2050!B:B, 0)))-(INDEX(Cooper_pop_2030_2050!E:E, MATCH($A48, Cooper_pop_2030_2050!B:B, 0))))</f>
        <v>9461056.2121211886</v>
      </c>
      <c r="T48">
        <f>(INDEX(Cooper_pop_2030_2050!E:E, MATCH($A48, Cooper_pop_2030_2050!B:B, 0)))+0.2*((INDEX(Cooper_pop_2030_2050!F:F, MATCH($A48, Cooper_pop_2030_2050!B:B, 0)))-(INDEX(Cooper_pop_2030_2050!E:E, MATCH($A48, Cooper_pop_2030_2050!B:B, 0))))</f>
        <v>9544295.5927453283</v>
      </c>
      <c r="U48">
        <f>(INDEX(Cooper_pop_2030_2050!E:E, MATCH($A48, Cooper_pop_2030_2050!B:B, 0)))+0.3*((INDEX(Cooper_pop_2030_2050!F:F, MATCH($A48, Cooper_pop_2030_2050!B:B, 0)))-(INDEX(Cooper_pop_2030_2050!E:E, MATCH($A48, Cooper_pop_2030_2050!B:B, 0))))</f>
        <v>9627534.9733694699</v>
      </c>
      <c r="V48">
        <f>(INDEX(Cooper_pop_2030_2050!E:E, MATCH($A48, Cooper_pop_2030_2050!B:B, 0)))+0.4*((INDEX(Cooper_pop_2030_2050!F:F, MATCH($A48, Cooper_pop_2030_2050!B:B, 0)))-(INDEX(Cooper_pop_2030_2050!E:E, MATCH($A48, Cooper_pop_2030_2050!B:B, 0))))</f>
        <v>9710774.3539936095</v>
      </c>
      <c r="W48">
        <f>(INDEX(Cooper_pop_2030_2050!E:E, MATCH($A48, Cooper_pop_2030_2050!B:B, 0)))+0.5*((INDEX(Cooper_pop_2030_2050!F:F, MATCH($A48, Cooper_pop_2030_2050!B:B, 0)))-(INDEX(Cooper_pop_2030_2050!E:E, MATCH($A48, Cooper_pop_2030_2050!B:B, 0))))</f>
        <v>9794013.7346177492</v>
      </c>
      <c r="X48">
        <f>(INDEX(Cooper_pop_2030_2050!E:E, MATCH($A48, Cooper_pop_2030_2050!B:B, 0)))+0.6*((INDEX(Cooper_pop_2030_2050!F:F, MATCH($A48, Cooper_pop_2030_2050!B:B, 0)))-(INDEX(Cooper_pop_2030_2050!E:E, MATCH($A48, Cooper_pop_2030_2050!B:B, 0))))</f>
        <v>9877253.1152418889</v>
      </c>
      <c r="Y48">
        <f>(INDEX(Cooper_pop_2030_2050!E:E, MATCH($A48, Cooper_pop_2030_2050!B:B, 0)))+0.7*((INDEX(Cooper_pop_2030_2050!F:F, MATCH($A48, Cooper_pop_2030_2050!B:B, 0)))-(INDEX(Cooper_pop_2030_2050!E:E, MATCH($A48, Cooper_pop_2030_2050!B:B, 0))))</f>
        <v>9960492.4958660286</v>
      </c>
      <c r="Z48">
        <f>(INDEX(Cooper_pop_2030_2050!E:E, MATCH($A48, Cooper_pop_2030_2050!B:B, 0)))+0.8*((INDEX(Cooper_pop_2030_2050!F:F, MATCH($A48, Cooper_pop_2030_2050!B:B, 0)))-(INDEX(Cooper_pop_2030_2050!E:E, MATCH($A48, Cooper_pop_2030_2050!B:B, 0))))</f>
        <v>10043731.87649017</v>
      </c>
      <c r="AA48">
        <f>(INDEX(Cooper_pop_2030_2050!E:E, MATCH($A48, Cooper_pop_2030_2050!B:B, 0)))+0.9*((INDEX(Cooper_pop_2030_2050!F:F, MATCH($A48, Cooper_pop_2030_2050!B:B, 0)))-(INDEX(Cooper_pop_2030_2050!E:E, MATCH($A48, Cooper_pop_2030_2050!B:B, 0))))</f>
        <v>10126971.25711431</v>
      </c>
      <c r="AB48">
        <f>INDEX(Cooper_pop_2030_2050!F:F, MATCH($A48, Cooper_pop_2030_2050!B:B, 0))</f>
        <v>10210210.637738449</v>
      </c>
    </row>
    <row r="49" spans="1:28">
      <c r="A49" t="s">
        <v>2933</v>
      </c>
      <c r="B49">
        <f>IFERROR(INDEX(Census_pop_2020_2025!G:G, MATCH("."&amp;$A49, Census_pop_2020_2025!A:A, 0)),INDEX(Census_pop_2020_2025!G:G, MATCH($A49, Census_pop_2020_2025!A:A, 0)))</f>
        <v>1767402</v>
      </c>
      <c r="C49">
        <f>IFERROR(INDEX(Census_pop_2020_2025!H:H, MATCH("."&amp;$A49, Census_pop_2020_2025!A:A, 0)),INDEX(Census_pop_2020_2025!H:H, MATCH($A49, Census_pop_2020_2025!A:A, 0)))</f>
        <v>1766147</v>
      </c>
      <c r="D49">
        <f>(IFERROR(INDEX(Census_pop_2020_2025!H:H, MATCH("."&amp;$A49, Census_pop_2020_2025!A:A, 0)),INDEX(Census_pop_2020_2025!H:H, MATCH($A49, Census_pop_2020_2025!A:A, 0))))+0.2*((INDEX(Cooper_pop_2030_2050!D:D, MATCH($A49, Cooper_pop_2030_2050!B:B, 0)))-(IFERROR(INDEX(Census_pop_2020_2025!H:H, MATCH("."&amp;$A49, Census_pop_2020_2025!A:A, 0)),INDEX(Census_pop_2020_2025!H:H, MATCH($A49, Census_pop_2020_2025!A:A, 0)))))</f>
        <v>1762958.7326315143</v>
      </c>
      <c r="E49">
        <f>(IFERROR(INDEX(Census_pop_2020_2025!H:H, MATCH("."&amp;$A49, Census_pop_2020_2025!A:A, 0)),INDEX(Census_pop_2020_2025!H:H, MATCH($A49, Census_pop_2020_2025!A:A, 0))))+0.4*((INDEX(Cooper_pop_2030_2050!D:D, MATCH($A49, Cooper_pop_2030_2050!B:B, 0)))-(IFERROR(INDEX(Census_pop_2020_2025!H:H, MATCH("."&amp;$A49, Census_pop_2020_2025!A:A, 0)),INDEX(Census_pop_2020_2025!H:H, MATCH($A49, Census_pop_2020_2025!A:A, 0)))))</f>
        <v>1759770.4652630284</v>
      </c>
      <c r="F49">
        <f>(IFERROR(INDEX(Census_pop_2020_2025!H:H, MATCH("."&amp;$A49, Census_pop_2020_2025!A:A, 0)),INDEX(Census_pop_2020_2025!H:H, MATCH($A49, Census_pop_2020_2025!A:A, 0))))+0.6*((INDEX(Cooper_pop_2030_2050!D:D, MATCH($A49, Cooper_pop_2030_2050!B:B, 0)))-(IFERROR(INDEX(Census_pop_2020_2025!H:H, MATCH("."&amp;$A49, Census_pop_2020_2025!A:A, 0)),INDEX(Census_pop_2020_2025!H:H, MATCH($A49, Census_pop_2020_2025!A:A, 0)))))</f>
        <v>1756582.1978945427</v>
      </c>
      <c r="G49">
        <f>(IFERROR(INDEX(Census_pop_2020_2025!H:H, MATCH("."&amp;$A49, Census_pop_2020_2025!A:A, 0)),INDEX(Census_pop_2020_2025!H:H, MATCH($A49, Census_pop_2020_2025!A:A, 0))))+0.8*((INDEX(Cooper_pop_2030_2050!D:D, MATCH($A49, Cooper_pop_2030_2050!B:B, 0)))-(IFERROR(INDEX(Census_pop_2020_2025!H:H, MATCH("."&amp;$A49, Census_pop_2020_2025!A:A, 0)),INDEX(Census_pop_2020_2025!H:H, MATCH($A49, Census_pop_2020_2025!A:A, 0)))))</f>
        <v>1753393.9305260568</v>
      </c>
      <c r="H49">
        <f>INDEX(Cooper_pop_2030_2050!D:D, MATCH($A49, Cooper_pop_2030_2050!B:B, 0))</f>
        <v>1750205.6631575711</v>
      </c>
      <c r="I49">
        <f>(INDEX(Cooper_pop_2030_2050!D:D, MATCH($A49, Cooper_pop_2030_2050!B:B, 0)))+0.1*((INDEX(Cooper_pop_2030_2050!E:E, MATCH($A49, Cooper_pop_2030_2050!B:B, 0)))-(INDEX(Cooper_pop_2030_2050!D:D, MATCH($A49, Cooper_pop_2030_2050!B:B, 0))))</f>
        <v>1738075.2677232802</v>
      </c>
      <c r="J49">
        <f>(INDEX(Cooper_pop_2030_2050!D:D, MATCH($A49, Cooper_pop_2030_2050!B:B, 0)))+0.2*((INDEX(Cooper_pop_2030_2050!E:E, MATCH($A49, Cooper_pop_2030_2050!B:B, 0)))-(INDEX(Cooper_pop_2030_2050!D:D, MATCH($A49, Cooper_pop_2030_2050!B:B, 0))))</f>
        <v>1725944.8722889894</v>
      </c>
      <c r="K49">
        <f>(INDEX(Cooper_pop_2030_2050!D:D, MATCH($A49, Cooper_pop_2030_2050!B:B, 0)))+0.3*((INDEX(Cooper_pop_2030_2050!E:E, MATCH($A49, Cooper_pop_2030_2050!B:B, 0)))-(INDEX(Cooper_pop_2030_2050!D:D, MATCH($A49, Cooper_pop_2030_2050!B:B, 0))))</f>
        <v>1713814.4768546983</v>
      </c>
      <c r="L49">
        <f>(INDEX(Cooper_pop_2030_2050!D:D, MATCH($A49, Cooper_pop_2030_2050!B:B, 0)))+0.4*((INDEX(Cooper_pop_2030_2050!E:E, MATCH($A49, Cooper_pop_2030_2050!B:B, 0)))-(INDEX(Cooper_pop_2030_2050!D:D, MATCH($A49, Cooper_pop_2030_2050!B:B, 0))))</f>
        <v>1701684.0814204074</v>
      </c>
      <c r="M49">
        <f>(INDEX(Cooper_pop_2030_2050!D:D, MATCH($A49, Cooper_pop_2030_2050!B:B, 0)))+0.5*((INDEX(Cooper_pop_2030_2050!E:E, MATCH($A49, Cooper_pop_2030_2050!B:B, 0)))-(INDEX(Cooper_pop_2030_2050!D:D, MATCH($A49, Cooper_pop_2030_2050!B:B, 0))))</f>
        <v>1689553.6859861165</v>
      </c>
      <c r="N49">
        <f>(INDEX(Cooper_pop_2030_2050!D:D, MATCH($A49, Cooper_pop_2030_2050!B:B, 0)))+0.6*((INDEX(Cooper_pop_2030_2050!E:E, MATCH($A49, Cooper_pop_2030_2050!B:B, 0)))-(INDEX(Cooper_pop_2030_2050!D:D, MATCH($A49, Cooper_pop_2030_2050!B:B, 0))))</f>
        <v>1677423.2905518257</v>
      </c>
      <c r="O49">
        <f>(INDEX(Cooper_pop_2030_2050!D:D, MATCH($A49, Cooper_pop_2030_2050!B:B, 0)))+0.7*((INDEX(Cooper_pop_2030_2050!E:E, MATCH($A49, Cooper_pop_2030_2050!B:B, 0)))-(INDEX(Cooper_pop_2030_2050!D:D, MATCH($A49, Cooper_pop_2030_2050!B:B, 0))))</f>
        <v>1665292.8951175348</v>
      </c>
      <c r="P49">
        <f>(INDEX(Cooper_pop_2030_2050!D:D, MATCH($A49, Cooper_pop_2030_2050!B:B, 0)))+0.8*((INDEX(Cooper_pop_2030_2050!E:E, MATCH($A49, Cooper_pop_2030_2050!B:B, 0)))-(INDEX(Cooper_pop_2030_2050!D:D, MATCH($A49, Cooper_pop_2030_2050!B:B, 0))))</f>
        <v>1653162.4996832437</v>
      </c>
      <c r="Q49">
        <f>(INDEX(Cooper_pop_2030_2050!D:D, MATCH($A49, Cooper_pop_2030_2050!B:B, 0)))+0.9*((INDEX(Cooper_pop_2030_2050!E:E, MATCH($A49, Cooper_pop_2030_2050!B:B, 0)))-(INDEX(Cooper_pop_2030_2050!D:D, MATCH($A49, Cooper_pop_2030_2050!B:B, 0))))</f>
        <v>1641032.1042489528</v>
      </c>
      <c r="R49">
        <f>INDEX(Cooper_pop_2030_2050!E:E, MATCH($A49, Cooper_pop_2030_2050!B:B, 0))</f>
        <v>1628901.7088146619</v>
      </c>
      <c r="S49">
        <f>(INDEX(Cooper_pop_2030_2050!E:E, MATCH($A49, Cooper_pop_2030_2050!B:B, 0)))+0.1*((INDEX(Cooper_pop_2030_2050!F:F, MATCH($A49, Cooper_pop_2030_2050!B:B, 0)))-(INDEX(Cooper_pop_2030_2050!E:E, MATCH($A49, Cooper_pop_2030_2050!B:B, 0))))</f>
        <v>1615835.6124512746</v>
      </c>
      <c r="T49">
        <f>(INDEX(Cooper_pop_2030_2050!E:E, MATCH($A49, Cooper_pop_2030_2050!B:B, 0)))+0.2*((INDEX(Cooper_pop_2030_2050!F:F, MATCH($A49, Cooper_pop_2030_2050!B:B, 0)))-(INDEX(Cooper_pop_2030_2050!E:E, MATCH($A49, Cooper_pop_2030_2050!B:B, 0))))</f>
        <v>1602769.5160878871</v>
      </c>
      <c r="U49">
        <f>(INDEX(Cooper_pop_2030_2050!E:E, MATCH($A49, Cooper_pop_2030_2050!B:B, 0)))+0.3*((INDEX(Cooper_pop_2030_2050!F:F, MATCH($A49, Cooper_pop_2030_2050!B:B, 0)))-(INDEX(Cooper_pop_2030_2050!E:E, MATCH($A49, Cooper_pop_2030_2050!B:B, 0))))</f>
        <v>1589703.4197244998</v>
      </c>
      <c r="V49">
        <f>(INDEX(Cooper_pop_2030_2050!E:E, MATCH($A49, Cooper_pop_2030_2050!B:B, 0)))+0.4*((INDEX(Cooper_pop_2030_2050!F:F, MATCH($A49, Cooper_pop_2030_2050!B:B, 0)))-(INDEX(Cooper_pop_2030_2050!E:E, MATCH($A49, Cooper_pop_2030_2050!B:B, 0))))</f>
        <v>1576637.3233611123</v>
      </c>
      <c r="W49">
        <f>(INDEX(Cooper_pop_2030_2050!E:E, MATCH($A49, Cooper_pop_2030_2050!B:B, 0)))+0.5*((INDEX(Cooper_pop_2030_2050!F:F, MATCH($A49, Cooper_pop_2030_2050!B:B, 0)))-(INDEX(Cooper_pop_2030_2050!E:E, MATCH($A49, Cooper_pop_2030_2050!B:B, 0))))</f>
        <v>1563571.226997725</v>
      </c>
      <c r="X49">
        <f>(INDEX(Cooper_pop_2030_2050!E:E, MATCH($A49, Cooper_pop_2030_2050!B:B, 0)))+0.6*((INDEX(Cooper_pop_2030_2050!F:F, MATCH($A49, Cooper_pop_2030_2050!B:B, 0)))-(INDEX(Cooper_pop_2030_2050!E:E, MATCH($A49, Cooper_pop_2030_2050!B:B, 0))))</f>
        <v>1550505.1306343377</v>
      </c>
      <c r="Y49">
        <f>(INDEX(Cooper_pop_2030_2050!E:E, MATCH($A49, Cooper_pop_2030_2050!B:B, 0)))+0.7*((INDEX(Cooper_pop_2030_2050!F:F, MATCH($A49, Cooper_pop_2030_2050!B:B, 0)))-(INDEX(Cooper_pop_2030_2050!E:E, MATCH($A49, Cooper_pop_2030_2050!B:B, 0))))</f>
        <v>1537439.0342709501</v>
      </c>
      <c r="Z49">
        <f>(INDEX(Cooper_pop_2030_2050!E:E, MATCH($A49, Cooper_pop_2030_2050!B:B, 0)))+0.8*((INDEX(Cooper_pop_2030_2050!F:F, MATCH($A49, Cooper_pop_2030_2050!B:B, 0)))-(INDEX(Cooper_pop_2030_2050!E:E, MATCH($A49, Cooper_pop_2030_2050!B:B, 0))))</f>
        <v>1524372.9379075628</v>
      </c>
      <c r="AA49">
        <f>(INDEX(Cooper_pop_2030_2050!E:E, MATCH($A49, Cooper_pop_2030_2050!B:B, 0)))+0.9*((INDEX(Cooper_pop_2030_2050!F:F, MATCH($A49, Cooper_pop_2030_2050!B:B, 0)))-(INDEX(Cooper_pop_2030_2050!E:E, MATCH($A49, Cooper_pop_2030_2050!B:B, 0))))</f>
        <v>1511306.8415441753</v>
      </c>
      <c r="AB49">
        <f>INDEX(Cooper_pop_2030_2050!F:F, MATCH($A49, Cooper_pop_2030_2050!B:B, 0))</f>
        <v>1498240.745180788</v>
      </c>
    </row>
    <row r="50" spans="1:28">
      <c r="A50" t="s">
        <v>2934</v>
      </c>
      <c r="B50">
        <f>IFERROR(INDEX(Census_pop_2020_2025!G:G, MATCH("."&amp;$A50, Census_pop_2020_2025!A:A, 0)),INDEX(Census_pop_2020_2025!G:G, MATCH($A50, Census_pop_2020_2025!A:A, 0)))</f>
        <v>5957168</v>
      </c>
      <c r="C50">
        <f>IFERROR(INDEX(Census_pop_2020_2025!H:H, MATCH("."&amp;$A50, Census_pop_2020_2025!A:A, 0)),INDEX(Census_pop_2020_2025!H:H, MATCH($A50, Census_pop_2020_2025!A:A, 0)))</f>
        <v>5972787</v>
      </c>
      <c r="D50">
        <f>(IFERROR(INDEX(Census_pop_2020_2025!H:H, MATCH("."&amp;$A50, Census_pop_2020_2025!A:A, 0)),INDEX(Census_pop_2020_2025!H:H, MATCH($A50, Census_pop_2020_2025!A:A, 0))))+0.2*((INDEX(Cooper_pop_2030_2050!D:D, MATCH($A50, Cooper_pop_2030_2050!B:B, 0)))-(IFERROR(INDEX(Census_pop_2020_2025!H:H, MATCH("."&amp;$A50, Census_pop_2020_2025!A:A, 0)),INDEX(Census_pop_2020_2025!H:H, MATCH($A50, Census_pop_2020_2025!A:A, 0)))))</f>
        <v>5988734.5073858807</v>
      </c>
      <c r="E50">
        <f>(IFERROR(INDEX(Census_pop_2020_2025!H:H, MATCH("."&amp;$A50, Census_pop_2020_2025!A:A, 0)),INDEX(Census_pop_2020_2025!H:H, MATCH($A50, Census_pop_2020_2025!A:A, 0))))+0.4*((INDEX(Cooper_pop_2030_2050!D:D, MATCH($A50, Cooper_pop_2030_2050!B:B, 0)))-(IFERROR(INDEX(Census_pop_2020_2025!H:H, MATCH("."&amp;$A50, Census_pop_2020_2025!A:A, 0)),INDEX(Census_pop_2020_2025!H:H, MATCH($A50, Census_pop_2020_2025!A:A, 0)))))</f>
        <v>6004682.0147717614</v>
      </c>
      <c r="F50">
        <f>(IFERROR(INDEX(Census_pop_2020_2025!H:H, MATCH("."&amp;$A50, Census_pop_2020_2025!A:A, 0)),INDEX(Census_pop_2020_2025!H:H, MATCH($A50, Census_pop_2020_2025!A:A, 0))))+0.6*((INDEX(Cooper_pop_2030_2050!D:D, MATCH($A50, Cooper_pop_2030_2050!B:B, 0)))-(IFERROR(INDEX(Census_pop_2020_2025!H:H, MATCH("."&amp;$A50, Census_pop_2020_2025!A:A, 0)),INDEX(Census_pop_2020_2025!H:H, MATCH($A50, Census_pop_2020_2025!A:A, 0)))))</f>
        <v>6020629.5221576421</v>
      </c>
      <c r="G50">
        <f>(IFERROR(INDEX(Census_pop_2020_2025!H:H, MATCH("."&amp;$A50, Census_pop_2020_2025!A:A, 0)),INDEX(Census_pop_2020_2025!H:H, MATCH($A50, Census_pop_2020_2025!A:A, 0))))+0.8*((INDEX(Cooper_pop_2030_2050!D:D, MATCH($A50, Cooper_pop_2030_2050!B:B, 0)))-(IFERROR(INDEX(Census_pop_2020_2025!H:H, MATCH("."&amp;$A50, Census_pop_2020_2025!A:A, 0)),INDEX(Census_pop_2020_2025!H:H, MATCH($A50, Census_pop_2020_2025!A:A, 0)))))</f>
        <v>6036577.0295435227</v>
      </c>
      <c r="H50">
        <f>INDEX(Cooper_pop_2030_2050!D:D, MATCH($A50, Cooper_pop_2030_2050!B:B, 0))</f>
        <v>6052524.5369294034</v>
      </c>
      <c r="I50">
        <f>(INDEX(Cooper_pop_2030_2050!D:D, MATCH($A50, Cooper_pop_2030_2050!B:B, 0)))+0.1*((INDEX(Cooper_pop_2030_2050!E:E, MATCH($A50, Cooper_pop_2030_2050!B:B, 0)))-(INDEX(Cooper_pop_2030_2050!D:D, MATCH($A50, Cooper_pop_2030_2050!B:B, 0))))</f>
        <v>6050345.0715812221</v>
      </c>
      <c r="J50">
        <f>(INDEX(Cooper_pop_2030_2050!D:D, MATCH($A50, Cooper_pop_2030_2050!B:B, 0)))+0.2*((INDEX(Cooper_pop_2030_2050!E:E, MATCH($A50, Cooper_pop_2030_2050!B:B, 0)))-(INDEX(Cooper_pop_2030_2050!D:D, MATCH($A50, Cooper_pop_2030_2050!B:B, 0))))</f>
        <v>6048165.6062330399</v>
      </c>
      <c r="K50">
        <f>(INDEX(Cooper_pop_2030_2050!D:D, MATCH($A50, Cooper_pop_2030_2050!B:B, 0)))+0.3*((INDEX(Cooper_pop_2030_2050!E:E, MATCH($A50, Cooper_pop_2030_2050!B:B, 0)))-(INDEX(Cooper_pop_2030_2050!D:D, MATCH($A50, Cooper_pop_2030_2050!B:B, 0))))</f>
        <v>6045986.1408848586</v>
      </c>
      <c r="L50">
        <f>(INDEX(Cooper_pop_2030_2050!D:D, MATCH($A50, Cooper_pop_2030_2050!B:B, 0)))+0.4*((INDEX(Cooper_pop_2030_2050!E:E, MATCH($A50, Cooper_pop_2030_2050!B:B, 0)))-(INDEX(Cooper_pop_2030_2050!D:D, MATCH($A50, Cooper_pop_2030_2050!B:B, 0))))</f>
        <v>6043806.6755366763</v>
      </c>
      <c r="M50">
        <f>(INDEX(Cooper_pop_2030_2050!D:D, MATCH($A50, Cooper_pop_2030_2050!B:B, 0)))+0.5*((INDEX(Cooper_pop_2030_2050!E:E, MATCH($A50, Cooper_pop_2030_2050!B:B, 0)))-(INDEX(Cooper_pop_2030_2050!D:D, MATCH($A50, Cooper_pop_2030_2050!B:B, 0))))</f>
        <v>6041627.210188495</v>
      </c>
      <c r="N50">
        <f>(INDEX(Cooper_pop_2030_2050!D:D, MATCH($A50, Cooper_pop_2030_2050!B:B, 0)))+0.6*((INDEX(Cooper_pop_2030_2050!E:E, MATCH($A50, Cooper_pop_2030_2050!B:B, 0)))-(INDEX(Cooper_pop_2030_2050!D:D, MATCH($A50, Cooper_pop_2030_2050!B:B, 0))))</f>
        <v>6039447.7448403137</v>
      </c>
      <c r="O50">
        <f>(INDEX(Cooper_pop_2030_2050!D:D, MATCH($A50, Cooper_pop_2030_2050!B:B, 0)))+0.7*((INDEX(Cooper_pop_2030_2050!E:E, MATCH($A50, Cooper_pop_2030_2050!B:B, 0)))-(INDEX(Cooper_pop_2030_2050!D:D, MATCH($A50, Cooper_pop_2030_2050!B:B, 0))))</f>
        <v>6037268.2794921314</v>
      </c>
      <c r="P50">
        <f>(INDEX(Cooper_pop_2030_2050!D:D, MATCH($A50, Cooper_pop_2030_2050!B:B, 0)))+0.8*((INDEX(Cooper_pop_2030_2050!E:E, MATCH($A50, Cooper_pop_2030_2050!B:B, 0)))-(INDEX(Cooper_pop_2030_2050!D:D, MATCH($A50, Cooper_pop_2030_2050!B:B, 0))))</f>
        <v>6035088.8141439501</v>
      </c>
      <c r="Q50">
        <f>(INDEX(Cooper_pop_2030_2050!D:D, MATCH($A50, Cooper_pop_2030_2050!B:B, 0)))+0.9*((INDEX(Cooper_pop_2030_2050!E:E, MATCH($A50, Cooper_pop_2030_2050!B:B, 0)))-(INDEX(Cooper_pop_2030_2050!D:D, MATCH($A50, Cooper_pop_2030_2050!B:B, 0))))</f>
        <v>6032909.3487957679</v>
      </c>
      <c r="R50">
        <f>INDEX(Cooper_pop_2030_2050!E:E, MATCH($A50, Cooper_pop_2030_2050!B:B, 0))</f>
        <v>6030729.8834475866</v>
      </c>
      <c r="S50">
        <f>(INDEX(Cooper_pop_2030_2050!E:E, MATCH($A50, Cooper_pop_2030_2050!B:B, 0)))+0.1*((INDEX(Cooper_pop_2030_2050!F:F, MATCH($A50, Cooper_pop_2030_2050!B:B, 0)))-(INDEX(Cooper_pop_2030_2050!E:E, MATCH($A50, Cooper_pop_2030_2050!B:B, 0))))</f>
        <v>6021516.9657105589</v>
      </c>
      <c r="T50">
        <f>(INDEX(Cooper_pop_2030_2050!E:E, MATCH($A50, Cooper_pop_2030_2050!B:B, 0)))+0.2*((INDEX(Cooper_pop_2030_2050!F:F, MATCH($A50, Cooper_pop_2030_2050!B:B, 0)))-(INDEX(Cooper_pop_2030_2050!E:E, MATCH($A50, Cooper_pop_2030_2050!B:B, 0))))</f>
        <v>6012304.0479735313</v>
      </c>
      <c r="U50">
        <f>(INDEX(Cooper_pop_2030_2050!E:E, MATCH($A50, Cooper_pop_2030_2050!B:B, 0)))+0.3*((INDEX(Cooper_pop_2030_2050!F:F, MATCH($A50, Cooper_pop_2030_2050!B:B, 0)))-(INDEX(Cooper_pop_2030_2050!E:E, MATCH($A50, Cooper_pop_2030_2050!B:B, 0))))</f>
        <v>6003091.1302365037</v>
      </c>
      <c r="V50">
        <f>(INDEX(Cooper_pop_2030_2050!E:E, MATCH($A50, Cooper_pop_2030_2050!B:B, 0)))+0.4*((INDEX(Cooper_pop_2030_2050!F:F, MATCH($A50, Cooper_pop_2030_2050!B:B, 0)))-(INDEX(Cooper_pop_2030_2050!E:E, MATCH($A50, Cooper_pop_2030_2050!B:B, 0))))</f>
        <v>5993878.212499476</v>
      </c>
      <c r="W50">
        <f>(INDEX(Cooper_pop_2030_2050!E:E, MATCH($A50, Cooper_pop_2030_2050!B:B, 0)))+0.5*((INDEX(Cooper_pop_2030_2050!F:F, MATCH($A50, Cooper_pop_2030_2050!B:B, 0)))-(INDEX(Cooper_pop_2030_2050!E:E, MATCH($A50, Cooper_pop_2030_2050!B:B, 0))))</f>
        <v>5984665.2947624484</v>
      </c>
      <c r="X50">
        <f>(INDEX(Cooper_pop_2030_2050!E:E, MATCH($A50, Cooper_pop_2030_2050!B:B, 0)))+0.6*((INDEX(Cooper_pop_2030_2050!F:F, MATCH($A50, Cooper_pop_2030_2050!B:B, 0)))-(INDEX(Cooper_pop_2030_2050!E:E, MATCH($A50, Cooper_pop_2030_2050!B:B, 0))))</f>
        <v>5975452.3770254208</v>
      </c>
      <c r="Y50">
        <f>(INDEX(Cooper_pop_2030_2050!E:E, MATCH($A50, Cooper_pop_2030_2050!B:B, 0)))+0.7*((INDEX(Cooper_pop_2030_2050!F:F, MATCH($A50, Cooper_pop_2030_2050!B:B, 0)))-(INDEX(Cooper_pop_2030_2050!E:E, MATCH($A50, Cooper_pop_2030_2050!B:B, 0))))</f>
        <v>5966239.4592883931</v>
      </c>
      <c r="Z50">
        <f>(INDEX(Cooper_pop_2030_2050!E:E, MATCH($A50, Cooper_pop_2030_2050!B:B, 0)))+0.8*((INDEX(Cooper_pop_2030_2050!F:F, MATCH($A50, Cooper_pop_2030_2050!B:B, 0)))-(INDEX(Cooper_pop_2030_2050!E:E, MATCH($A50, Cooper_pop_2030_2050!B:B, 0))))</f>
        <v>5957026.5415513655</v>
      </c>
      <c r="AA50">
        <f>(INDEX(Cooper_pop_2030_2050!E:E, MATCH($A50, Cooper_pop_2030_2050!B:B, 0)))+0.9*((INDEX(Cooper_pop_2030_2050!F:F, MATCH($A50, Cooper_pop_2030_2050!B:B, 0)))-(INDEX(Cooper_pop_2030_2050!E:E, MATCH($A50, Cooper_pop_2030_2050!B:B, 0))))</f>
        <v>5947813.6238143379</v>
      </c>
      <c r="AB50">
        <f>INDEX(Cooper_pop_2030_2050!F:F, MATCH($A50, Cooper_pop_2030_2050!B:B, 0))</f>
        <v>5938600.7060773103</v>
      </c>
    </row>
    <row r="51" spans="1:28">
      <c r="A51" t="s">
        <v>2935</v>
      </c>
      <c r="B51">
        <f>IFERROR(INDEX(Census_pop_2020_2025!G:G, MATCH("."&amp;$A51, Census_pop_2020_2025!A:A, 0)),INDEX(Census_pop_2020_2025!G:G, MATCH($A51, Census_pop_2020_2025!A:A, 0)))</f>
        <v>586722</v>
      </c>
      <c r="C51">
        <f>IFERROR(INDEX(Census_pop_2020_2025!H:H, MATCH("."&amp;$A51, Census_pop_2020_2025!A:A, 0)),INDEX(Census_pop_2020_2025!H:H, MATCH($A51, Census_pop_2020_2025!A:A, 0)))</f>
        <v>588753</v>
      </c>
      <c r="D51">
        <f>(IFERROR(INDEX(Census_pop_2020_2025!H:H, MATCH("."&amp;$A51, Census_pop_2020_2025!A:A, 0)),INDEX(Census_pop_2020_2025!H:H, MATCH($A51, Census_pop_2020_2025!A:A, 0))))+0.2*((INDEX(Cooper_pop_2030_2050!D:D, MATCH($A51, Cooper_pop_2030_2050!B:B, 0)))-(IFERROR(INDEX(Census_pop_2020_2025!H:H, MATCH("."&amp;$A51, Census_pop_2020_2025!A:A, 0)),INDEX(Census_pop_2020_2025!H:H, MATCH($A51, Census_pop_2020_2025!A:A, 0)))))</f>
        <v>588387.38132662443</v>
      </c>
      <c r="E51">
        <f>(IFERROR(INDEX(Census_pop_2020_2025!H:H, MATCH("."&amp;$A51, Census_pop_2020_2025!A:A, 0)),INDEX(Census_pop_2020_2025!H:H, MATCH($A51, Census_pop_2020_2025!A:A, 0))))+0.4*((INDEX(Cooper_pop_2030_2050!D:D, MATCH($A51, Cooper_pop_2030_2050!B:B, 0)))-(IFERROR(INDEX(Census_pop_2020_2025!H:H, MATCH("."&amp;$A51, Census_pop_2020_2025!A:A, 0)),INDEX(Census_pop_2020_2025!H:H, MATCH($A51, Census_pop_2020_2025!A:A, 0)))))</f>
        <v>588021.76265324885</v>
      </c>
      <c r="F51">
        <f>(IFERROR(INDEX(Census_pop_2020_2025!H:H, MATCH("."&amp;$A51, Census_pop_2020_2025!A:A, 0)),INDEX(Census_pop_2020_2025!H:H, MATCH($A51, Census_pop_2020_2025!A:A, 0))))+0.6*((INDEX(Cooper_pop_2030_2050!D:D, MATCH($A51, Cooper_pop_2030_2050!B:B, 0)))-(IFERROR(INDEX(Census_pop_2020_2025!H:H, MATCH("."&amp;$A51, Census_pop_2020_2025!A:A, 0)),INDEX(Census_pop_2020_2025!H:H, MATCH($A51, Census_pop_2020_2025!A:A, 0)))))</f>
        <v>587656.14397987316</v>
      </c>
      <c r="G51">
        <f>(IFERROR(INDEX(Census_pop_2020_2025!H:H, MATCH("."&amp;$A51, Census_pop_2020_2025!A:A, 0)),INDEX(Census_pop_2020_2025!H:H, MATCH($A51, Census_pop_2020_2025!A:A, 0))))+0.8*((INDEX(Cooper_pop_2030_2050!D:D, MATCH($A51, Cooper_pop_2030_2050!B:B, 0)))-(IFERROR(INDEX(Census_pop_2020_2025!H:H, MATCH("."&amp;$A51, Census_pop_2020_2025!A:A, 0)),INDEX(Census_pop_2020_2025!H:H, MATCH($A51, Census_pop_2020_2025!A:A, 0)))))</f>
        <v>587290.52530649758</v>
      </c>
      <c r="H51">
        <f>INDEX(Cooper_pop_2030_2050!D:D, MATCH($A51, Cooper_pop_2030_2050!B:B, 0))</f>
        <v>586924.90663312201</v>
      </c>
      <c r="I51">
        <f>(INDEX(Cooper_pop_2030_2050!D:D, MATCH($A51, Cooper_pop_2030_2050!B:B, 0)))+0.1*((INDEX(Cooper_pop_2030_2050!E:E, MATCH($A51, Cooper_pop_2030_2050!B:B, 0)))-(INDEX(Cooper_pop_2030_2050!D:D, MATCH($A51, Cooper_pop_2030_2050!B:B, 0))))</f>
        <v>585986.31319276954</v>
      </c>
      <c r="J51">
        <f>(INDEX(Cooper_pop_2030_2050!D:D, MATCH($A51, Cooper_pop_2030_2050!B:B, 0)))+0.2*((INDEX(Cooper_pop_2030_2050!E:E, MATCH($A51, Cooper_pop_2030_2050!B:B, 0)))-(INDEX(Cooper_pop_2030_2050!D:D, MATCH($A51, Cooper_pop_2030_2050!B:B, 0))))</f>
        <v>585047.71975241695</v>
      </c>
      <c r="K51">
        <f>(INDEX(Cooper_pop_2030_2050!D:D, MATCH($A51, Cooper_pop_2030_2050!B:B, 0)))+0.3*((INDEX(Cooper_pop_2030_2050!E:E, MATCH($A51, Cooper_pop_2030_2050!B:B, 0)))-(INDEX(Cooper_pop_2030_2050!D:D, MATCH($A51, Cooper_pop_2030_2050!B:B, 0))))</f>
        <v>584109.12631206447</v>
      </c>
      <c r="L51">
        <f>(INDEX(Cooper_pop_2030_2050!D:D, MATCH($A51, Cooper_pop_2030_2050!B:B, 0)))+0.4*((INDEX(Cooper_pop_2030_2050!E:E, MATCH($A51, Cooper_pop_2030_2050!B:B, 0)))-(INDEX(Cooper_pop_2030_2050!D:D, MATCH($A51, Cooper_pop_2030_2050!B:B, 0))))</f>
        <v>583170.53287171188</v>
      </c>
      <c r="M51">
        <f>(INDEX(Cooper_pop_2030_2050!D:D, MATCH($A51, Cooper_pop_2030_2050!B:B, 0)))+0.5*((INDEX(Cooper_pop_2030_2050!E:E, MATCH($A51, Cooper_pop_2030_2050!B:B, 0)))-(INDEX(Cooper_pop_2030_2050!D:D, MATCH($A51, Cooper_pop_2030_2050!B:B, 0))))</f>
        <v>582231.93943135941</v>
      </c>
      <c r="N51">
        <f>(INDEX(Cooper_pop_2030_2050!D:D, MATCH($A51, Cooper_pop_2030_2050!B:B, 0)))+0.6*((INDEX(Cooper_pop_2030_2050!E:E, MATCH($A51, Cooper_pop_2030_2050!B:B, 0)))-(INDEX(Cooper_pop_2030_2050!D:D, MATCH($A51, Cooper_pop_2030_2050!B:B, 0))))</f>
        <v>581293.34599100694</v>
      </c>
      <c r="O51">
        <f>(INDEX(Cooper_pop_2030_2050!D:D, MATCH($A51, Cooper_pop_2030_2050!B:B, 0)))+0.7*((INDEX(Cooper_pop_2030_2050!E:E, MATCH($A51, Cooper_pop_2030_2050!B:B, 0)))-(INDEX(Cooper_pop_2030_2050!D:D, MATCH($A51, Cooper_pop_2030_2050!B:B, 0))))</f>
        <v>580354.75255065435</v>
      </c>
      <c r="P51">
        <f>(INDEX(Cooper_pop_2030_2050!D:D, MATCH($A51, Cooper_pop_2030_2050!B:B, 0)))+0.8*((INDEX(Cooper_pop_2030_2050!E:E, MATCH($A51, Cooper_pop_2030_2050!B:B, 0)))-(INDEX(Cooper_pop_2030_2050!D:D, MATCH($A51, Cooper_pop_2030_2050!B:B, 0))))</f>
        <v>579416.15911030187</v>
      </c>
      <c r="Q51">
        <f>(INDEX(Cooper_pop_2030_2050!D:D, MATCH($A51, Cooper_pop_2030_2050!B:B, 0)))+0.9*((INDEX(Cooper_pop_2030_2050!E:E, MATCH($A51, Cooper_pop_2030_2050!B:B, 0)))-(INDEX(Cooper_pop_2030_2050!D:D, MATCH($A51, Cooper_pop_2030_2050!B:B, 0))))</f>
        <v>578477.56566994928</v>
      </c>
      <c r="R51">
        <f>INDEX(Cooper_pop_2030_2050!E:E, MATCH($A51, Cooper_pop_2030_2050!B:B, 0))</f>
        <v>577538.97222959681</v>
      </c>
      <c r="S51">
        <f>(INDEX(Cooper_pop_2030_2050!E:E, MATCH($A51, Cooper_pop_2030_2050!B:B, 0)))+0.1*((INDEX(Cooper_pop_2030_2050!F:F, MATCH($A51, Cooper_pop_2030_2050!B:B, 0)))-(INDEX(Cooper_pop_2030_2050!E:E, MATCH($A51, Cooper_pop_2030_2050!B:B, 0))))</f>
        <v>575949.45673674589</v>
      </c>
      <c r="T51">
        <f>(INDEX(Cooper_pop_2030_2050!E:E, MATCH($A51, Cooper_pop_2030_2050!B:B, 0)))+0.2*((INDEX(Cooper_pop_2030_2050!F:F, MATCH($A51, Cooper_pop_2030_2050!B:B, 0)))-(INDEX(Cooper_pop_2030_2050!E:E, MATCH($A51, Cooper_pop_2030_2050!B:B, 0))))</f>
        <v>574359.94124389498</v>
      </c>
      <c r="U51">
        <f>(INDEX(Cooper_pop_2030_2050!E:E, MATCH($A51, Cooper_pop_2030_2050!B:B, 0)))+0.3*((INDEX(Cooper_pop_2030_2050!F:F, MATCH($A51, Cooper_pop_2030_2050!B:B, 0)))-(INDEX(Cooper_pop_2030_2050!E:E, MATCH($A51, Cooper_pop_2030_2050!B:B, 0))))</f>
        <v>572770.42575104407</v>
      </c>
      <c r="V51">
        <f>(INDEX(Cooper_pop_2030_2050!E:E, MATCH($A51, Cooper_pop_2030_2050!B:B, 0)))+0.4*((INDEX(Cooper_pop_2030_2050!F:F, MATCH($A51, Cooper_pop_2030_2050!B:B, 0)))-(INDEX(Cooper_pop_2030_2050!E:E, MATCH($A51, Cooper_pop_2030_2050!B:B, 0))))</f>
        <v>571180.91025819315</v>
      </c>
      <c r="W51">
        <f>(INDEX(Cooper_pop_2030_2050!E:E, MATCH($A51, Cooper_pop_2030_2050!B:B, 0)))+0.5*((INDEX(Cooper_pop_2030_2050!F:F, MATCH($A51, Cooper_pop_2030_2050!B:B, 0)))-(INDEX(Cooper_pop_2030_2050!E:E, MATCH($A51, Cooper_pop_2030_2050!B:B, 0))))</f>
        <v>569591.39476534235</v>
      </c>
      <c r="X51">
        <f>(INDEX(Cooper_pop_2030_2050!E:E, MATCH($A51, Cooper_pop_2030_2050!B:B, 0)))+0.6*((INDEX(Cooper_pop_2030_2050!F:F, MATCH($A51, Cooper_pop_2030_2050!B:B, 0)))-(INDEX(Cooper_pop_2030_2050!E:E, MATCH($A51, Cooper_pop_2030_2050!B:B, 0))))</f>
        <v>568001.87927249144</v>
      </c>
      <c r="Y51">
        <f>(INDEX(Cooper_pop_2030_2050!E:E, MATCH($A51, Cooper_pop_2030_2050!B:B, 0)))+0.7*((INDEX(Cooper_pop_2030_2050!F:F, MATCH($A51, Cooper_pop_2030_2050!B:B, 0)))-(INDEX(Cooper_pop_2030_2050!E:E, MATCH($A51, Cooper_pop_2030_2050!B:B, 0))))</f>
        <v>566412.36377964052</v>
      </c>
      <c r="Z51">
        <f>(INDEX(Cooper_pop_2030_2050!E:E, MATCH($A51, Cooper_pop_2030_2050!B:B, 0)))+0.8*((INDEX(Cooper_pop_2030_2050!F:F, MATCH($A51, Cooper_pop_2030_2050!B:B, 0)))-(INDEX(Cooper_pop_2030_2050!E:E, MATCH($A51, Cooper_pop_2030_2050!B:B, 0))))</f>
        <v>564822.84828678961</v>
      </c>
      <c r="AA51">
        <f>(INDEX(Cooper_pop_2030_2050!E:E, MATCH($A51, Cooper_pop_2030_2050!B:B, 0)))+0.9*((INDEX(Cooper_pop_2030_2050!F:F, MATCH($A51, Cooper_pop_2030_2050!B:B, 0)))-(INDEX(Cooper_pop_2030_2050!E:E, MATCH($A51, Cooper_pop_2030_2050!B:B, 0))))</f>
        <v>563233.33279393869</v>
      </c>
      <c r="AB51">
        <f>INDEX(Cooper_pop_2030_2050!F:F, MATCH($A51, Cooper_pop_2030_2050!B:B, 0))</f>
        <v>561643.81730108778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EA57-2AC0-48FD-98B9-3E8E3F807DA8}">
  <dimension ref="A1:F57"/>
  <sheetViews>
    <sheetView workbookViewId="0"/>
  </sheetViews>
  <sheetFormatPr defaultRowHeight="14.25"/>
  <cols>
    <col min="1" max="6" width="22.73046875" customWidth="1"/>
  </cols>
  <sheetData>
    <row r="1" spans="1:6">
      <c r="A1" t="s">
        <v>2880</v>
      </c>
    </row>
    <row r="2" spans="1:6">
      <c r="A2" t="s">
        <v>2881</v>
      </c>
    </row>
    <row r="3" spans="1:6">
      <c r="A3" t="s">
        <v>2882</v>
      </c>
      <c r="B3" t="s">
        <v>2883</v>
      </c>
      <c r="C3" t="s">
        <v>2884</v>
      </c>
    </row>
    <row r="4" spans="1:6">
      <c r="C4">
        <v>2020</v>
      </c>
      <c r="D4">
        <v>2030</v>
      </c>
      <c r="E4">
        <v>2040</v>
      </c>
      <c r="F4">
        <v>2050</v>
      </c>
    </row>
    <row r="5" spans="1:6">
      <c r="A5">
        <v>0</v>
      </c>
      <c r="B5" t="s">
        <v>203</v>
      </c>
      <c r="C5">
        <v>331449281</v>
      </c>
      <c r="D5">
        <v>349695864.83600509</v>
      </c>
      <c r="E5">
        <v>362293471.00603873</v>
      </c>
      <c r="F5">
        <v>371766981.53281742</v>
      </c>
    </row>
    <row r="6" spans="1:6">
      <c r="A6">
        <v>1</v>
      </c>
      <c r="B6" t="s">
        <v>2885</v>
      </c>
      <c r="C6">
        <v>5024279</v>
      </c>
      <c r="D6">
        <v>5213941.9593999544</v>
      </c>
      <c r="E6">
        <v>5269411.9940482546</v>
      </c>
      <c r="F6">
        <v>5263068.8276395518</v>
      </c>
    </row>
    <row r="7" spans="1:6">
      <c r="A7">
        <v>2</v>
      </c>
      <c r="B7" t="s">
        <v>2886</v>
      </c>
      <c r="C7">
        <v>733391</v>
      </c>
      <c r="D7">
        <v>751138.61348068446</v>
      </c>
      <c r="E7">
        <v>745730.94499167416</v>
      </c>
      <c r="F7">
        <v>731686.71969204536</v>
      </c>
    </row>
    <row r="8" spans="1:6">
      <c r="A8">
        <v>4</v>
      </c>
      <c r="B8" t="s">
        <v>2887</v>
      </c>
      <c r="C8">
        <v>7151502</v>
      </c>
      <c r="D8">
        <v>7766235.8948013214</v>
      </c>
      <c r="E8">
        <v>8354030.2992708869</v>
      </c>
      <c r="F8">
        <v>8881011.7559838742</v>
      </c>
    </row>
    <row r="9" spans="1:6">
      <c r="A9">
        <v>5</v>
      </c>
      <c r="B9" t="s">
        <v>2888</v>
      </c>
      <c r="C9">
        <v>3011524</v>
      </c>
      <c r="D9">
        <v>3084795.846413034</v>
      </c>
      <c r="E9">
        <v>3063116.9208203158</v>
      </c>
      <c r="F9">
        <v>3005949.3046633019</v>
      </c>
    </row>
    <row r="10" spans="1:6">
      <c r="A10">
        <v>6</v>
      </c>
      <c r="B10" t="s">
        <v>2889</v>
      </c>
      <c r="C10">
        <v>39538223</v>
      </c>
      <c r="D10">
        <v>41321454.412962787</v>
      </c>
      <c r="E10">
        <v>42164453.29269436</v>
      </c>
      <c r="F10">
        <v>42520491.764124498</v>
      </c>
    </row>
    <row r="11" spans="1:6">
      <c r="A11">
        <v>8</v>
      </c>
      <c r="B11" t="s">
        <v>2890</v>
      </c>
      <c r="C11">
        <v>5773714</v>
      </c>
      <c r="D11">
        <v>6387211.4132660571</v>
      </c>
      <c r="E11">
        <v>7050081.2537046131</v>
      </c>
      <c r="F11">
        <v>7690558.5704174414</v>
      </c>
    </row>
    <row r="12" spans="1:6">
      <c r="A12">
        <v>9</v>
      </c>
      <c r="B12" t="s">
        <v>2891</v>
      </c>
      <c r="C12">
        <v>3605944</v>
      </c>
      <c r="D12">
        <v>3629971.1363854278</v>
      </c>
      <c r="E12">
        <v>3521129.0297373449</v>
      </c>
      <c r="F12">
        <v>3375527.4071430722</v>
      </c>
    </row>
    <row r="13" spans="1:6">
      <c r="A13">
        <v>10</v>
      </c>
      <c r="B13" t="s">
        <v>2892</v>
      </c>
      <c r="C13">
        <v>989948</v>
      </c>
      <c r="D13">
        <v>1063672.975783298</v>
      </c>
      <c r="E13">
        <v>1127462.7880623159</v>
      </c>
      <c r="F13">
        <v>1181074.3530534171</v>
      </c>
    </row>
    <row r="14" spans="1:6">
      <c r="A14">
        <v>11</v>
      </c>
      <c r="B14" t="s">
        <v>2893</v>
      </c>
      <c r="C14">
        <v>689545</v>
      </c>
      <c r="D14">
        <v>761820.34899197798</v>
      </c>
      <c r="E14">
        <v>839353.09399886103</v>
      </c>
      <c r="F14">
        <v>913940.14248062251</v>
      </c>
    </row>
    <row r="15" spans="1:6">
      <c r="A15">
        <v>12</v>
      </c>
      <c r="B15" t="s">
        <v>2894</v>
      </c>
      <c r="C15">
        <v>21538187</v>
      </c>
      <c r="D15">
        <v>23790046.180994149</v>
      </c>
      <c r="E15">
        <v>26202482.723461989</v>
      </c>
      <c r="F15">
        <v>28521379.819008172</v>
      </c>
    </row>
    <row r="16" spans="1:6">
      <c r="A16">
        <v>13</v>
      </c>
      <c r="B16" t="s">
        <v>2895</v>
      </c>
      <c r="C16">
        <v>10711908</v>
      </c>
      <c r="D16">
        <v>11534245.404131711</v>
      </c>
      <c r="E16">
        <v>12262063.81445121</v>
      </c>
      <c r="F16">
        <v>12883055.78332142</v>
      </c>
    </row>
    <row r="17" spans="1:6">
      <c r="A17">
        <v>15</v>
      </c>
      <c r="B17" t="s">
        <v>2896</v>
      </c>
      <c r="C17">
        <v>1455271</v>
      </c>
      <c r="D17">
        <v>1529813.685719925</v>
      </c>
      <c r="E17">
        <v>1573524.555421565</v>
      </c>
      <c r="F17">
        <v>1599519.128309625</v>
      </c>
    </row>
    <row r="18" spans="1:6">
      <c r="A18">
        <v>16</v>
      </c>
      <c r="B18" t="s">
        <v>2897</v>
      </c>
      <c r="C18">
        <v>1839106</v>
      </c>
      <c r="D18">
        <v>2066264.606384865</v>
      </c>
      <c r="E18">
        <v>2330711.6931815208</v>
      </c>
      <c r="F18">
        <v>2598197.1621829141</v>
      </c>
    </row>
    <row r="19" spans="1:6">
      <c r="A19">
        <v>17</v>
      </c>
      <c r="B19" t="s">
        <v>2898</v>
      </c>
      <c r="C19">
        <v>12812508</v>
      </c>
      <c r="D19">
        <v>12798927.80059221</v>
      </c>
      <c r="E19">
        <v>12288130.499614131</v>
      </c>
      <c r="F19">
        <v>11659474.34770238</v>
      </c>
    </row>
    <row r="20" spans="1:6">
      <c r="A20">
        <v>18</v>
      </c>
      <c r="B20" t="s">
        <v>2899</v>
      </c>
      <c r="C20">
        <v>6785528</v>
      </c>
      <c r="D20">
        <v>7018842.962614065</v>
      </c>
      <c r="E20">
        <v>7062290.1083437586</v>
      </c>
      <c r="F20">
        <v>7022738.7452546703</v>
      </c>
    </row>
    <row r="21" spans="1:6">
      <c r="A21">
        <v>19</v>
      </c>
      <c r="B21" t="s">
        <v>2900</v>
      </c>
      <c r="C21">
        <v>3190369</v>
      </c>
      <c r="D21">
        <v>3301783.573424798</v>
      </c>
      <c r="E21">
        <v>3324567.3310771948</v>
      </c>
      <c r="F21">
        <v>3308282.5485984799</v>
      </c>
    </row>
    <row r="22" spans="1:6">
      <c r="A22">
        <v>20</v>
      </c>
      <c r="B22" t="s">
        <v>2901</v>
      </c>
      <c r="C22">
        <v>2937880</v>
      </c>
      <c r="D22">
        <v>3002710.578075985</v>
      </c>
      <c r="E22">
        <v>2972719.4050657698</v>
      </c>
      <c r="F22">
        <v>2908541.687972981</v>
      </c>
    </row>
    <row r="23" spans="1:6">
      <c r="A23">
        <v>21</v>
      </c>
      <c r="B23" t="s">
        <v>2902</v>
      </c>
      <c r="C23">
        <v>4505836</v>
      </c>
      <c r="D23">
        <v>4633880.8341481034</v>
      </c>
      <c r="E23">
        <v>4626152.924592006</v>
      </c>
      <c r="F23">
        <v>4564319.5224742861</v>
      </c>
    </row>
    <row r="24" spans="1:6">
      <c r="A24">
        <v>22</v>
      </c>
      <c r="B24" t="s">
        <v>2903</v>
      </c>
      <c r="C24">
        <v>4657757</v>
      </c>
      <c r="D24">
        <v>4752752.1650289232</v>
      </c>
      <c r="E24">
        <v>4694904.5017160606</v>
      </c>
      <c r="F24">
        <v>4583416.1200747248</v>
      </c>
    </row>
    <row r="25" spans="1:6">
      <c r="A25">
        <v>23</v>
      </c>
      <c r="B25" t="s">
        <v>2904</v>
      </c>
      <c r="C25">
        <v>1362359</v>
      </c>
      <c r="D25">
        <v>1388292.571491861</v>
      </c>
      <c r="E25">
        <v>1368934.200202751</v>
      </c>
      <c r="F25">
        <v>1334028.4084958921</v>
      </c>
    </row>
    <row r="26" spans="1:6">
      <c r="A26">
        <v>24</v>
      </c>
      <c r="B26" t="s">
        <v>2905</v>
      </c>
      <c r="C26">
        <v>6177224</v>
      </c>
      <c r="D26">
        <v>6494089.8572746906</v>
      </c>
      <c r="E26">
        <v>6680280.3244134784</v>
      </c>
      <c r="F26">
        <v>6791285.8617444122</v>
      </c>
    </row>
    <row r="27" spans="1:6">
      <c r="A27">
        <v>25</v>
      </c>
      <c r="B27" t="s">
        <v>2906</v>
      </c>
      <c r="C27">
        <v>7029917</v>
      </c>
      <c r="D27">
        <v>7409395.2857788671</v>
      </c>
      <c r="E27">
        <v>7648478.0338228764</v>
      </c>
      <c r="F27">
        <v>7802759.3621860752</v>
      </c>
    </row>
    <row r="28" spans="1:6">
      <c r="A28">
        <v>26</v>
      </c>
      <c r="B28" t="s">
        <v>2907</v>
      </c>
      <c r="C28">
        <v>10077331</v>
      </c>
      <c r="D28">
        <v>10224497.144069441</v>
      </c>
      <c r="E28">
        <v>10022975.952415921</v>
      </c>
      <c r="F28">
        <v>9710293.3323017713</v>
      </c>
    </row>
    <row r="29" spans="1:6">
      <c r="A29">
        <v>27</v>
      </c>
      <c r="B29" t="s">
        <v>2908</v>
      </c>
      <c r="C29">
        <v>5706494</v>
      </c>
      <c r="D29">
        <v>6023698.2850104868</v>
      </c>
      <c r="E29">
        <v>6231051.2970921826</v>
      </c>
      <c r="F29">
        <v>6370013.7977215797</v>
      </c>
    </row>
    <row r="30" spans="1:6">
      <c r="A30">
        <v>28</v>
      </c>
      <c r="B30" t="s">
        <v>2909</v>
      </c>
      <c r="C30">
        <v>2961279</v>
      </c>
      <c r="D30">
        <v>2956771.6025782051</v>
      </c>
      <c r="E30">
        <v>2837018.7950437949</v>
      </c>
      <c r="F30">
        <v>2690218.6435543532</v>
      </c>
    </row>
    <row r="31" spans="1:6">
      <c r="A31">
        <v>29</v>
      </c>
      <c r="B31" t="s">
        <v>2910</v>
      </c>
      <c r="C31">
        <v>6154913</v>
      </c>
      <c r="D31">
        <v>6281702.6910188589</v>
      </c>
      <c r="E31">
        <v>6206923.6308130622</v>
      </c>
      <c r="F31">
        <v>6061168.4898502678</v>
      </c>
    </row>
    <row r="32" spans="1:6">
      <c r="A32">
        <v>30</v>
      </c>
      <c r="B32" t="s">
        <v>2911</v>
      </c>
      <c r="C32">
        <v>1084225</v>
      </c>
      <c r="D32">
        <v>1159875.050951825</v>
      </c>
      <c r="E32">
        <v>1222019.8451907111</v>
      </c>
      <c r="F32">
        <v>1272407.5616144771</v>
      </c>
    </row>
    <row r="33" spans="1:6">
      <c r="A33">
        <v>31</v>
      </c>
      <c r="B33" t="s">
        <v>2912</v>
      </c>
      <c r="C33">
        <v>1961504</v>
      </c>
      <c r="D33">
        <v>2067877.790393881</v>
      </c>
      <c r="E33">
        <v>2135297.1638524388</v>
      </c>
      <c r="F33">
        <v>2179077.6598911369</v>
      </c>
    </row>
    <row r="34" spans="1:6">
      <c r="A34">
        <v>32</v>
      </c>
      <c r="B34" t="s">
        <v>2913</v>
      </c>
      <c r="C34">
        <v>3104614</v>
      </c>
      <c r="D34">
        <v>3437889.6937451842</v>
      </c>
      <c r="E34">
        <v>3799909.8321301779</v>
      </c>
      <c r="F34">
        <v>4150836.006525828</v>
      </c>
    </row>
    <row r="35" spans="1:6">
      <c r="A35">
        <v>33</v>
      </c>
      <c r="B35" t="s">
        <v>2914</v>
      </c>
      <c r="C35">
        <v>1377529</v>
      </c>
      <c r="D35">
        <v>1424739.2342157441</v>
      </c>
      <c r="E35">
        <v>1433346.8384585569</v>
      </c>
      <c r="F35">
        <v>1425109.162564812</v>
      </c>
    </row>
    <row r="36" spans="1:6">
      <c r="A36">
        <v>34</v>
      </c>
      <c r="B36" t="s">
        <v>2915</v>
      </c>
      <c r="C36">
        <v>9288994</v>
      </c>
      <c r="D36">
        <v>9675872.1954775602</v>
      </c>
      <c r="E36">
        <v>9828845.0254883375</v>
      </c>
      <c r="F36">
        <v>9867242.05879361</v>
      </c>
    </row>
    <row r="37" spans="1:6">
      <c r="A37">
        <v>35</v>
      </c>
      <c r="B37" t="s">
        <v>2916</v>
      </c>
      <c r="C37">
        <v>2117522</v>
      </c>
      <c r="D37">
        <v>2162105.7700958732</v>
      </c>
      <c r="E37">
        <v>2137651.4391768528</v>
      </c>
      <c r="F37">
        <v>2088708.2296581869</v>
      </c>
    </row>
    <row r="38" spans="1:6">
      <c r="A38">
        <v>36</v>
      </c>
      <c r="B38" t="s">
        <v>2917</v>
      </c>
      <c r="C38">
        <v>20201249</v>
      </c>
      <c r="D38">
        <v>20836092.153733529</v>
      </c>
      <c r="E38">
        <v>20883792.955728509</v>
      </c>
      <c r="F38">
        <v>20686328.590018131</v>
      </c>
    </row>
    <row r="39" spans="1:6">
      <c r="A39">
        <v>37</v>
      </c>
      <c r="B39" t="s">
        <v>2918</v>
      </c>
      <c r="C39">
        <v>10439388</v>
      </c>
      <c r="D39">
        <v>11160159.06061106</v>
      </c>
      <c r="E39">
        <v>11747050.95648321</v>
      </c>
      <c r="F39">
        <v>12219916.86992706</v>
      </c>
    </row>
    <row r="40" spans="1:6">
      <c r="A40">
        <v>38</v>
      </c>
      <c r="B40" t="s">
        <v>2919</v>
      </c>
      <c r="C40">
        <v>779094</v>
      </c>
      <c r="D40">
        <v>867403.48371186946</v>
      </c>
      <c r="E40">
        <v>966019.94958065893</v>
      </c>
      <c r="F40">
        <v>1063241.597046091</v>
      </c>
    </row>
    <row r="41" spans="1:6">
      <c r="A41">
        <v>39</v>
      </c>
      <c r="B41" t="s">
        <v>2920</v>
      </c>
      <c r="C41">
        <v>11799448</v>
      </c>
      <c r="D41">
        <v>11999652.555418169</v>
      </c>
      <c r="E41">
        <v>11800007.035868039</v>
      </c>
      <c r="F41">
        <v>11467712.374594981</v>
      </c>
    </row>
    <row r="42" spans="1:6">
      <c r="A42">
        <v>40</v>
      </c>
      <c r="B42" t="s">
        <v>2921</v>
      </c>
      <c r="C42">
        <v>3959353</v>
      </c>
      <c r="D42">
        <v>4121121.0667654141</v>
      </c>
      <c r="E42">
        <v>4181942.1445472948</v>
      </c>
      <c r="F42">
        <v>4193934.061681475</v>
      </c>
    </row>
    <row r="43" spans="1:6">
      <c r="A43">
        <v>41</v>
      </c>
      <c r="B43" t="s">
        <v>2922</v>
      </c>
      <c r="C43">
        <v>4237256</v>
      </c>
      <c r="D43">
        <v>4563424.8192822691</v>
      </c>
      <c r="E43">
        <v>4852674.7949715285</v>
      </c>
      <c r="F43">
        <v>5099791.3279651189</v>
      </c>
    </row>
    <row r="44" spans="1:6">
      <c r="A44">
        <v>42</v>
      </c>
      <c r="B44" t="s">
        <v>2923</v>
      </c>
      <c r="C44">
        <v>13002700</v>
      </c>
      <c r="D44">
        <v>13231490.97878159</v>
      </c>
      <c r="E44">
        <v>13022170.76497311</v>
      </c>
      <c r="F44">
        <v>12665983.497858791</v>
      </c>
    </row>
    <row r="45" spans="1:6">
      <c r="A45">
        <v>44</v>
      </c>
      <c r="B45" t="s">
        <v>2924</v>
      </c>
      <c r="C45">
        <v>1097379</v>
      </c>
      <c r="D45">
        <v>1131941.9133109821</v>
      </c>
      <c r="E45">
        <v>1134637.5743859769</v>
      </c>
      <c r="F45">
        <v>1124012.425927409</v>
      </c>
    </row>
    <row r="46" spans="1:6">
      <c r="A46">
        <v>45</v>
      </c>
      <c r="B46" t="s">
        <v>2925</v>
      </c>
      <c r="C46">
        <v>5118425</v>
      </c>
      <c r="D46">
        <v>5514500.7519329283</v>
      </c>
      <c r="E46">
        <v>5867090.0439792927</v>
      </c>
      <c r="F46">
        <v>6169077.6594060129</v>
      </c>
    </row>
    <row r="47" spans="1:6">
      <c r="A47">
        <v>46</v>
      </c>
      <c r="B47" t="s">
        <v>2926</v>
      </c>
      <c r="C47">
        <v>886667</v>
      </c>
      <c r="D47">
        <v>944259.033493208</v>
      </c>
      <c r="E47">
        <v>988683.73308034905</v>
      </c>
      <c r="F47">
        <v>1023068.138899433</v>
      </c>
    </row>
    <row r="48" spans="1:6">
      <c r="A48">
        <v>47</v>
      </c>
      <c r="B48" t="s">
        <v>2927</v>
      </c>
      <c r="C48">
        <v>6910840</v>
      </c>
      <c r="D48">
        <v>7359518.9165155236</v>
      </c>
      <c r="E48">
        <v>7705470.0344561785</v>
      </c>
      <c r="F48">
        <v>7973147.0964359436</v>
      </c>
    </row>
    <row r="49" spans="1:6">
      <c r="A49">
        <v>48</v>
      </c>
      <c r="B49" t="s">
        <v>2928</v>
      </c>
      <c r="C49">
        <v>29145505</v>
      </c>
      <c r="D49">
        <v>32463601.69659014</v>
      </c>
      <c r="E49">
        <v>36177044.314676493</v>
      </c>
      <c r="F49">
        <v>39842849.698430143</v>
      </c>
    </row>
    <row r="50" spans="1:6">
      <c r="A50">
        <v>49</v>
      </c>
      <c r="B50" t="s">
        <v>2929</v>
      </c>
      <c r="C50">
        <v>3271616</v>
      </c>
      <c r="D50">
        <v>3699049.8315023049</v>
      </c>
      <c r="E50">
        <v>4209772.8375504371</v>
      </c>
      <c r="F50">
        <v>4734870.1350054462</v>
      </c>
    </row>
    <row r="51" spans="1:6">
      <c r="A51">
        <v>50</v>
      </c>
      <c r="B51" t="s">
        <v>2930</v>
      </c>
      <c r="C51">
        <v>643077</v>
      </c>
      <c r="D51">
        <v>656319.14480112377</v>
      </c>
      <c r="E51">
        <v>648499.37688398245</v>
      </c>
      <c r="F51">
        <v>633264.26871211256</v>
      </c>
    </row>
    <row r="52" spans="1:6">
      <c r="A52">
        <v>51</v>
      </c>
      <c r="B52" t="s">
        <v>2931</v>
      </c>
      <c r="C52">
        <v>8631393</v>
      </c>
      <c r="D52">
        <v>9129001.8887463026</v>
      </c>
      <c r="E52">
        <v>9468577.5405298192</v>
      </c>
      <c r="F52">
        <v>9705705.5996118318</v>
      </c>
    </row>
    <row r="53" spans="1:6">
      <c r="A53">
        <v>53</v>
      </c>
      <c r="B53" t="s">
        <v>2932</v>
      </c>
      <c r="C53">
        <v>7705281</v>
      </c>
      <c r="D53">
        <v>8512354.8693866786</v>
      </c>
      <c r="E53">
        <v>9377816.831497049</v>
      </c>
      <c r="F53">
        <v>10210210.637738449</v>
      </c>
    </row>
    <row r="54" spans="1:6">
      <c r="A54">
        <v>54</v>
      </c>
      <c r="B54" t="s">
        <v>2933</v>
      </c>
      <c r="C54">
        <v>1793716</v>
      </c>
      <c r="D54">
        <v>1750205.6631575711</v>
      </c>
      <c r="E54">
        <v>1628901.7088146619</v>
      </c>
      <c r="F54">
        <v>1498240.745180788</v>
      </c>
    </row>
    <row r="55" spans="1:6">
      <c r="A55">
        <v>55</v>
      </c>
      <c r="B55" t="s">
        <v>2934</v>
      </c>
      <c r="C55">
        <v>5893718</v>
      </c>
      <c r="D55">
        <v>6052524.5369294034</v>
      </c>
      <c r="E55">
        <v>6030729.8834475866</v>
      </c>
      <c r="F55">
        <v>5938600.7060773103</v>
      </c>
    </row>
    <row r="56" spans="1:6">
      <c r="A56">
        <v>56</v>
      </c>
      <c r="B56" t="s">
        <v>2935</v>
      </c>
      <c r="C56">
        <v>576851</v>
      </c>
      <c r="D56">
        <v>586924.90663312201</v>
      </c>
      <c r="E56">
        <v>577538.97222959681</v>
      </c>
      <c r="F56">
        <v>561643.81730108778</v>
      </c>
    </row>
    <row r="57" spans="1:6">
      <c r="A57" t="s">
        <v>2936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8DFAF-19A2-45D8-B8AD-9B4C381B8F11}">
  <dimension ref="A1:H68"/>
  <sheetViews>
    <sheetView workbookViewId="0"/>
  </sheetViews>
  <sheetFormatPr defaultRowHeight="14.25"/>
  <cols>
    <col min="1" max="8" width="18.73046875" customWidth="1"/>
  </cols>
  <sheetData>
    <row r="1" spans="1:8">
      <c r="A1" t="s">
        <v>2813</v>
      </c>
    </row>
    <row r="2" spans="1:8" ht="128.25">
      <c r="A2" s="63" t="s">
        <v>2814</v>
      </c>
    </row>
    <row r="3" spans="1:8">
      <c r="A3" t="s">
        <v>2815</v>
      </c>
      <c r="B3" t="s">
        <v>2816</v>
      </c>
      <c r="C3" t="s">
        <v>2817</v>
      </c>
    </row>
    <row r="4" spans="1:8">
      <c r="C4">
        <v>2020</v>
      </c>
      <c r="D4">
        <v>2021</v>
      </c>
      <c r="E4">
        <v>2022</v>
      </c>
      <c r="F4">
        <v>2023</v>
      </c>
      <c r="G4">
        <v>2024</v>
      </c>
      <c r="H4">
        <v>2025</v>
      </c>
    </row>
    <row r="5" spans="1:8">
      <c r="A5" t="s">
        <v>203</v>
      </c>
      <c r="B5">
        <v>331516113</v>
      </c>
      <c r="C5">
        <v>331578104</v>
      </c>
      <c r="D5">
        <v>332100166</v>
      </c>
      <c r="E5">
        <v>333996304</v>
      </c>
      <c r="F5">
        <v>336755052</v>
      </c>
      <c r="G5">
        <v>340003797</v>
      </c>
      <c r="H5">
        <v>341784857</v>
      </c>
    </row>
    <row r="6" spans="1:8">
      <c r="A6" t="s">
        <v>2818</v>
      </c>
      <c r="B6">
        <v>57617560</v>
      </c>
      <c r="C6">
        <v>57436027</v>
      </c>
      <c r="D6">
        <v>57234503</v>
      </c>
      <c r="E6">
        <v>57174375</v>
      </c>
      <c r="F6">
        <v>57458539</v>
      </c>
      <c r="G6">
        <v>57940522</v>
      </c>
      <c r="H6">
        <v>58042054</v>
      </c>
    </row>
    <row r="7" spans="1:8">
      <c r="A7" t="s">
        <v>2819</v>
      </c>
      <c r="B7">
        <v>68999462</v>
      </c>
      <c r="C7">
        <v>68979566</v>
      </c>
      <c r="D7">
        <v>68867096</v>
      </c>
      <c r="E7">
        <v>68872112</v>
      </c>
      <c r="F7">
        <v>69132050</v>
      </c>
      <c r="G7">
        <v>69518281</v>
      </c>
      <c r="H7">
        <v>69762666</v>
      </c>
    </row>
    <row r="8" spans="1:8">
      <c r="A8" t="s">
        <v>2820</v>
      </c>
      <c r="B8">
        <v>126281605</v>
      </c>
      <c r="C8">
        <v>126473371</v>
      </c>
      <c r="D8">
        <v>127380165</v>
      </c>
      <c r="E8">
        <v>129066102</v>
      </c>
      <c r="F8">
        <v>130894372</v>
      </c>
      <c r="G8">
        <v>132662072</v>
      </c>
      <c r="H8">
        <v>133833983</v>
      </c>
    </row>
    <row r="9" spans="1:8">
      <c r="A9" t="s">
        <v>2821</v>
      </c>
      <c r="B9">
        <v>78617486</v>
      </c>
      <c r="C9">
        <v>78689140</v>
      </c>
      <c r="D9">
        <v>78618402</v>
      </c>
      <c r="E9">
        <v>78883715</v>
      </c>
      <c r="F9">
        <v>79270091</v>
      </c>
      <c r="G9">
        <v>79882922</v>
      </c>
      <c r="H9">
        <v>80146154</v>
      </c>
    </row>
    <row r="10" spans="1:8">
      <c r="A10" t="s">
        <v>2822</v>
      </c>
      <c r="B10">
        <v>5025437</v>
      </c>
      <c r="C10">
        <v>5032962</v>
      </c>
      <c r="D10">
        <v>5050058</v>
      </c>
      <c r="E10">
        <v>5076868</v>
      </c>
      <c r="F10">
        <v>5117850</v>
      </c>
      <c r="G10">
        <v>5163055</v>
      </c>
      <c r="H10">
        <v>5193088</v>
      </c>
    </row>
    <row r="11" spans="1:8">
      <c r="A11" t="s">
        <v>2823</v>
      </c>
      <c r="B11">
        <v>733383</v>
      </c>
      <c r="C11">
        <v>732906</v>
      </c>
      <c r="D11">
        <v>734590</v>
      </c>
      <c r="E11">
        <v>733659</v>
      </c>
      <c r="F11">
        <v>734654</v>
      </c>
      <c r="G11">
        <v>736537</v>
      </c>
      <c r="H11">
        <v>737270</v>
      </c>
    </row>
    <row r="12" spans="1:8">
      <c r="A12" t="s">
        <v>2824</v>
      </c>
      <c r="B12">
        <v>7158104</v>
      </c>
      <c r="C12">
        <v>7186647</v>
      </c>
      <c r="D12">
        <v>7274022</v>
      </c>
      <c r="E12">
        <v>7370065</v>
      </c>
      <c r="F12">
        <v>7452073</v>
      </c>
      <c r="G12">
        <v>7556424</v>
      </c>
      <c r="H12">
        <v>7623818</v>
      </c>
    </row>
    <row r="13" spans="1:8">
      <c r="A13" t="s">
        <v>2825</v>
      </c>
      <c r="B13">
        <v>3011530</v>
      </c>
      <c r="C13">
        <v>3014399</v>
      </c>
      <c r="D13">
        <v>3027127</v>
      </c>
      <c r="E13">
        <v>3047429</v>
      </c>
      <c r="F13">
        <v>3069856</v>
      </c>
      <c r="G13">
        <v>3096080</v>
      </c>
      <c r="H13">
        <v>3114791</v>
      </c>
    </row>
    <row r="14" spans="1:8">
      <c r="A14" t="s">
        <v>2826</v>
      </c>
      <c r="B14">
        <v>39555703</v>
      </c>
      <c r="C14">
        <v>39527808</v>
      </c>
      <c r="D14">
        <v>39152927</v>
      </c>
      <c r="E14">
        <v>39125347</v>
      </c>
      <c r="F14">
        <v>39181667</v>
      </c>
      <c r="G14">
        <v>39364774</v>
      </c>
      <c r="H14">
        <v>39355309</v>
      </c>
    </row>
    <row r="15" spans="1:8">
      <c r="A15" t="s">
        <v>2827</v>
      </c>
      <c r="B15">
        <v>5775326</v>
      </c>
      <c r="C15">
        <v>5786873</v>
      </c>
      <c r="D15">
        <v>5814368</v>
      </c>
      <c r="E15">
        <v>5853355</v>
      </c>
      <c r="F15">
        <v>5912240</v>
      </c>
      <c r="G15">
        <v>5988502</v>
      </c>
      <c r="H15">
        <v>6012561</v>
      </c>
    </row>
    <row r="16" spans="1:8">
      <c r="A16" t="s">
        <v>2828</v>
      </c>
      <c r="B16">
        <v>3607750</v>
      </c>
      <c r="C16">
        <v>3579643</v>
      </c>
      <c r="D16">
        <v>3607765</v>
      </c>
      <c r="E16">
        <v>3618707</v>
      </c>
      <c r="F16">
        <v>3641369</v>
      </c>
      <c r="G16">
        <v>3674449</v>
      </c>
      <c r="H16">
        <v>3688496</v>
      </c>
    </row>
    <row r="17" spans="1:8">
      <c r="A17" t="s">
        <v>2829</v>
      </c>
      <c r="B17">
        <v>989950</v>
      </c>
      <c r="C17">
        <v>991890</v>
      </c>
      <c r="D17">
        <v>1005130</v>
      </c>
      <c r="E17">
        <v>1020279</v>
      </c>
      <c r="F17">
        <v>1035354</v>
      </c>
      <c r="G17">
        <v>1050123</v>
      </c>
      <c r="H17">
        <v>1059952</v>
      </c>
    </row>
    <row r="18" spans="1:8">
      <c r="A18" t="s">
        <v>2830</v>
      </c>
      <c r="B18">
        <v>689544</v>
      </c>
      <c r="C18">
        <v>670958</v>
      </c>
      <c r="D18">
        <v>669637</v>
      </c>
      <c r="E18">
        <v>674501</v>
      </c>
      <c r="F18">
        <v>682559</v>
      </c>
      <c r="G18">
        <v>691310</v>
      </c>
      <c r="H18">
        <v>693645</v>
      </c>
    </row>
    <row r="19" spans="1:8">
      <c r="A19" t="s">
        <v>2831</v>
      </c>
      <c r="B19">
        <v>21538207</v>
      </c>
      <c r="C19">
        <v>21591325</v>
      </c>
      <c r="D19">
        <v>21836698</v>
      </c>
      <c r="E19">
        <v>22413989</v>
      </c>
      <c r="F19">
        <v>22929248</v>
      </c>
      <c r="G19">
        <v>23265838</v>
      </c>
      <c r="H19">
        <v>23462518</v>
      </c>
    </row>
    <row r="20" spans="1:8">
      <c r="A20" t="s">
        <v>2832</v>
      </c>
      <c r="B20">
        <v>10713861</v>
      </c>
      <c r="C20">
        <v>10732595</v>
      </c>
      <c r="D20">
        <v>10793038</v>
      </c>
      <c r="E20">
        <v>10929992</v>
      </c>
      <c r="F20">
        <v>11063669</v>
      </c>
      <c r="G20">
        <v>11204208</v>
      </c>
      <c r="H20">
        <v>11302748</v>
      </c>
    </row>
    <row r="21" spans="1:8">
      <c r="A21" t="s">
        <v>2833</v>
      </c>
      <c r="B21">
        <v>1455267</v>
      </c>
      <c r="C21">
        <v>1451130</v>
      </c>
      <c r="D21">
        <v>1446909</v>
      </c>
      <c r="E21">
        <v>1437812</v>
      </c>
      <c r="F21">
        <v>1434950</v>
      </c>
      <c r="G21">
        <v>1434952</v>
      </c>
      <c r="H21">
        <v>1432820</v>
      </c>
    </row>
    <row r="22" spans="1:8">
      <c r="A22" t="s">
        <v>2834</v>
      </c>
      <c r="B22">
        <v>1839123</v>
      </c>
      <c r="C22">
        <v>1849328</v>
      </c>
      <c r="D22">
        <v>1904855</v>
      </c>
      <c r="E22">
        <v>1942951</v>
      </c>
      <c r="F22">
        <v>1970497</v>
      </c>
      <c r="G22">
        <v>2000872</v>
      </c>
      <c r="H22">
        <v>2029733</v>
      </c>
    </row>
    <row r="23" spans="1:8">
      <c r="A23" t="s">
        <v>2835</v>
      </c>
      <c r="B23">
        <v>12821741</v>
      </c>
      <c r="C23">
        <v>12795348</v>
      </c>
      <c r="D23">
        <v>12703354</v>
      </c>
      <c r="E23">
        <v>12609577</v>
      </c>
      <c r="F23">
        <v>12633389</v>
      </c>
      <c r="G23">
        <v>12703033</v>
      </c>
      <c r="H23">
        <v>12719141</v>
      </c>
    </row>
    <row r="24" spans="1:8">
      <c r="A24" t="s">
        <v>2836</v>
      </c>
      <c r="B24">
        <v>6786605</v>
      </c>
      <c r="C24">
        <v>6790290</v>
      </c>
      <c r="D24">
        <v>6814223</v>
      </c>
      <c r="E24">
        <v>6841491</v>
      </c>
      <c r="F24">
        <v>6881373</v>
      </c>
      <c r="G24">
        <v>6934754</v>
      </c>
      <c r="H24">
        <v>6973333</v>
      </c>
    </row>
    <row r="25" spans="1:8">
      <c r="A25" t="s">
        <v>2837</v>
      </c>
      <c r="B25">
        <v>3190582</v>
      </c>
      <c r="C25">
        <v>3191081</v>
      </c>
      <c r="D25">
        <v>3199037</v>
      </c>
      <c r="E25">
        <v>3201890</v>
      </c>
      <c r="F25">
        <v>3214739</v>
      </c>
      <c r="G25">
        <v>3230454</v>
      </c>
      <c r="H25">
        <v>3238387</v>
      </c>
    </row>
    <row r="26" spans="1:8">
      <c r="A26" t="s">
        <v>2838</v>
      </c>
      <c r="B26">
        <v>2937986</v>
      </c>
      <c r="C26">
        <v>2938274</v>
      </c>
      <c r="D26">
        <v>2938966</v>
      </c>
      <c r="E26">
        <v>2938034</v>
      </c>
      <c r="F26">
        <v>2949749</v>
      </c>
      <c r="G26">
        <v>2965252</v>
      </c>
      <c r="H26">
        <v>2977220</v>
      </c>
    </row>
    <row r="27" spans="1:8">
      <c r="A27" t="s">
        <v>2839</v>
      </c>
      <c r="B27">
        <v>4506287</v>
      </c>
      <c r="C27">
        <v>4508271</v>
      </c>
      <c r="D27">
        <v>4508348</v>
      </c>
      <c r="E27">
        <v>4521238</v>
      </c>
      <c r="F27">
        <v>4549953</v>
      </c>
      <c r="G27">
        <v>4584046</v>
      </c>
      <c r="H27">
        <v>4606864</v>
      </c>
    </row>
    <row r="28" spans="1:8">
      <c r="A28" t="s">
        <v>2840</v>
      </c>
      <c r="B28">
        <v>4657894</v>
      </c>
      <c r="C28">
        <v>4652145</v>
      </c>
      <c r="D28">
        <v>4628595</v>
      </c>
      <c r="E28">
        <v>4600892</v>
      </c>
      <c r="F28">
        <v>4598777</v>
      </c>
      <c r="G28">
        <v>4614878</v>
      </c>
      <c r="H28">
        <v>4618189</v>
      </c>
    </row>
    <row r="29" spans="1:8">
      <c r="A29" t="s">
        <v>2841</v>
      </c>
      <c r="B29">
        <v>1363218</v>
      </c>
      <c r="C29">
        <v>1364546</v>
      </c>
      <c r="D29">
        <v>1379009</v>
      </c>
      <c r="E29">
        <v>1391585</v>
      </c>
      <c r="F29">
        <v>1401992</v>
      </c>
      <c r="G29">
        <v>1408438</v>
      </c>
      <c r="H29">
        <v>1414874</v>
      </c>
    </row>
    <row r="30" spans="1:8">
      <c r="A30" t="s">
        <v>2842</v>
      </c>
      <c r="B30">
        <v>6181640</v>
      </c>
      <c r="C30">
        <v>6178387</v>
      </c>
      <c r="D30">
        <v>6176035</v>
      </c>
      <c r="E30">
        <v>6183257</v>
      </c>
      <c r="F30">
        <v>6204927</v>
      </c>
      <c r="G30">
        <v>6245314</v>
      </c>
      <c r="H30">
        <v>6265347</v>
      </c>
    </row>
    <row r="31" spans="1:8">
      <c r="A31" t="s">
        <v>2843</v>
      </c>
      <c r="B31">
        <v>7033112</v>
      </c>
      <c r="C31">
        <v>6985320</v>
      </c>
      <c r="D31">
        <v>6996721</v>
      </c>
      <c r="E31">
        <v>7025465</v>
      </c>
      <c r="F31">
        <v>7073479</v>
      </c>
      <c r="G31">
        <v>7138560</v>
      </c>
      <c r="H31">
        <v>7154084</v>
      </c>
    </row>
    <row r="32" spans="1:8">
      <c r="A32" t="s">
        <v>2844</v>
      </c>
      <c r="B32">
        <v>10079362</v>
      </c>
      <c r="C32">
        <v>10072294</v>
      </c>
      <c r="D32">
        <v>10042362</v>
      </c>
      <c r="E32">
        <v>10043906</v>
      </c>
      <c r="F32">
        <v>10062124</v>
      </c>
      <c r="G32">
        <v>10099962</v>
      </c>
      <c r="H32">
        <v>10127884</v>
      </c>
    </row>
    <row r="33" spans="1:8">
      <c r="A33" t="s">
        <v>2845</v>
      </c>
      <c r="B33">
        <v>5706733</v>
      </c>
      <c r="C33">
        <v>5710562</v>
      </c>
      <c r="D33">
        <v>5714055</v>
      </c>
      <c r="E33">
        <v>5727565</v>
      </c>
      <c r="F33">
        <v>5752998</v>
      </c>
      <c r="G33">
        <v>5797405</v>
      </c>
      <c r="H33">
        <v>5830405</v>
      </c>
    </row>
    <row r="34" spans="1:8">
      <c r="A34" t="s">
        <v>2846</v>
      </c>
      <c r="B34">
        <v>2961264</v>
      </c>
      <c r="C34">
        <v>2958385</v>
      </c>
      <c r="D34">
        <v>2947603</v>
      </c>
      <c r="E34">
        <v>2941237</v>
      </c>
      <c r="F34">
        <v>2942470</v>
      </c>
      <c r="G34">
        <v>2950172</v>
      </c>
      <c r="H34">
        <v>2954160</v>
      </c>
    </row>
    <row r="35" spans="1:8">
      <c r="A35" t="s">
        <v>2847</v>
      </c>
      <c r="B35">
        <v>6154913</v>
      </c>
      <c r="C35">
        <v>6155074</v>
      </c>
      <c r="D35">
        <v>6172551</v>
      </c>
      <c r="E35">
        <v>6179285</v>
      </c>
      <c r="F35">
        <v>6205956</v>
      </c>
      <c r="G35">
        <v>6243544</v>
      </c>
      <c r="H35">
        <v>6270541</v>
      </c>
    </row>
    <row r="36" spans="1:8">
      <c r="A36" t="s">
        <v>2848</v>
      </c>
      <c r="B36">
        <v>1084221</v>
      </c>
      <c r="C36">
        <v>1087156</v>
      </c>
      <c r="D36">
        <v>1106416</v>
      </c>
      <c r="E36">
        <v>1121533</v>
      </c>
      <c r="F36">
        <v>1130612</v>
      </c>
      <c r="G36">
        <v>1137557</v>
      </c>
      <c r="H36">
        <v>1144694</v>
      </c>
    </row>
    <row r="37" spans="1:8">
      <c r="A37" t="s">
        <v>2849</v>
      </c>
      <c r="B37">
        <v>1961980</v>
      </c>
      <c r="C37">
        <v>1963318</v>
      </c>
      <c r="D37">
        <v>1964697</v>
      </c>
      <c r="E37">
        <v>1972595</v>
      </c>
      <c r="F37">
        <v>1988172</v>
      </c>
      <c r="G37">
        <v>2005591</v>
      </c>
      <c r="H37">
        <v>2018006</v>
      </c>
    </row>
    <row r="38" spans="1:8">
      <c r="A38" t="s">
        <v>2850</v>
      </c>
      <c r="B38">
        <v>3105593</v>
      </c>
      <c r="C38">
        <v>3116851</v>
      </c>
      <c r="D38">
        <v>3148472</v>
      </c>
      <c r="E38">
        <v>3177672</v>
      </c>
      <c r="F38">
        <v>3211077</v>
      </c>
      <c r="G38">
        <v>3253543</v>
      </c>
      <c r="H38">
        <v>3282188</v>
      </c>
    </row>
    <row r="39" spans="1:8">
      <c r="A39" t="s">
        <v>2851</v>
      </c>
      <c r="B39">
        <v>1377573</v>
      </c>
      <c r="C39">
        <v>1378752</v>
      </c>
      <c r="D39">
        <v>1387907</v>
      </c>
      <c r="E39">
        <v>1396647</v>
      </c>
      <c r="F39">
        <v>1401530</v>
      </c>
      <c r="G39">
        <v>1408518</v>
      </c>
      <c r="H39">
        <v>1415342</v>
      </c>
    </row>
    <row r="40" spans="1:8">
      <c r="A40" t="s">
        <v>2852</v>
      </c>
      <c r="B40">
        <v>9289024</v>
      </c>
      <c r="C40">
        <v>9270476</v>
      </c>
      <c r="D40">
        <v>9266509</v>
      </c>
      <c r="E40">
        <v>9298402</v>
      </c>
      <c r="F40">
        <v>9395315</v>
      </c>
      <c r="G40">
        <v>9506354</v>
      </c>
      <c r="H40">
        <v>9548215</v>
      </c>
    </row>
    <row r="41" spans="1:8">
      <c r="A41" t="s">
        <v>2853</v>
      </c>
      <c r="B41">
        <v>2117492</v>
      </c>
      <c r="C41">
        <v>2118446</v>
      </c>
      <c r="D41">
        <v>2117300</v>
      </c>
      <c r="E41">
        <v>2112859</v>
      </c>
      <c r="F41">
        <v>2119349</v>
      </c>
      <c r="G41">
        <v>2126774</v>
      </c>
      <c r="H41">
        <v>2125498</v>
      </c>
    </row>
    <row r="42" spans="1:8">
      <c r="A42" t="s">
        <v>2854</v>
      </c>
      <c r="B42">
        <v>20203696</v>
      </c>
      <c r="C42">
        <v>20122262</v>
      </c>
      <c r="D42">
        <v>19835345</v>
      </c>
      <c r="E42">
        <v>19713025</v>
      </c>
      <c r="F42">
        <v>19786543</v>
      </c>
      <c r="G42">
        <v>20001419</v>
      </c>
      <c r="H42">
        <v>20002427</v>
      </c>
    </row>
    <row r="43" spans="1:8">
      <c r="A43" t="s">
        <v>2855</v>
      </c>
      <c r="B43">
        <v>10441392</v>
      </c>
      <c r="C43">
        <v>10450215</v>
      </c>
      <c r="D43">
        <v>10565503</v>
      </c>
      <c r="E43">
        <v>10705768</v>
      </c>
      <c r="F43">
        <v>10871849</v>
      </c>
      <c r="G43">
        <v>11052061</v>
      </c>
      <c r="H43">
        <v>11197968</v>
      </c>
    </row>
    <row r="44" spans="1:8">
      <c r="A44" t="s">
        <v>2856</v>
      </c>
      <c r="B44">
        <v>779136</v>
      </c>
      <c r="C44">
        <v>779612</v>
      </c>
      <c r="D44">
        <v>777977</v>
      </c>
      <c r="E44">
        <v>780191</v>
      </c>
      <c r="F44">
        <v>787071</v>
      </c>
      <c r="G44">
        <v>793387</v>
      </c>
      <c r="H44">
        <v>799358</v>
      </c>
    </row>
    <row r="45" spans="1:8">
      <c r="A45" t="s">
        <v>2857</v>
      </c>
      <c r="B45">
        <v>11799445</v>
      </c>
      <c r="C45">
        <v>11798534</v>
      </c>
      <c r="D45">
        <v>11761443</v>
      </c>
      <c r="E45">
        <v>11764950</v>
      </c>
      <c r="F45">
        <v>11808390</v>
      </c>
      <c r="G45">
        <v>11860621</v>
      </c>
      <c r="H45">
        <v>11900510</v>
      </c>
    </row>
    <row r="46" spans="1:8">
      <c r="A46" t="s">
        <v>2858</v>
      </c>
      <c r="B46">
        <v>3959354</v>
      </c>
      <c r="C46">
        <v>3965243</v>
      </c>
      <c r="D46">
        <v>3992760</v>
      </c>
      <c r="E46">
        <v>4025327</v>
      </c>
      <c r="F46">
        <v>4062716</v>
      </c>
      <c r="G46">
        <v>4097758</v>
      </c>
      <c r="H46">
        <v>4123288</v>
      </c>
    </row>
    <row r="47" spans="1:8">
      <c r="A47" t="s">
        <v>2859</v>
      </c>
      <c r="B47">
        <v>4237282</v>
      </c>
      <c r="C47">
        <v>4243544</v>
      </c>
      <c r="D47">
        <v>4254691</v>
      </c>
      <c r="E47">
        <v>4245964</v>
      </c>
      <c r="F47">
        <v>4250392</v>
      </c>
      <c r="G47">
        <v>4265324</v>
      </c>
      <c r="H47">
        <v>4273586</v>
      </c>
    </row>
    <row r="48" spans="1:8">
      <c r="A48" t="s">
        <v>2860</v>
      </c>
      <c r="B48">
        <v>13002753</v>
      </c>
      <c r="C48">
        <v>12995576</v>
      </c>
      <c r="D48">
        <v>13016628</v>
      </c>
      <c r="E48">
        <v>12984655</v>
      </c>
      <c r="F48">
        <v>13009406</v>
      </c>
      <c r="G48">
        <v>13045848</v>
      </c>
      <c r="H48">
        <v>13059432</v>
      </c>
    </row>
    <row r="49" spans="1:8">
      <c r="A49" t="s">
        <v>2861</v>
      </c>
      <c r="B49">
        <v>1097357</v>
      </c>
      <c r="C49">
        <v>1096487</v>
      </c>
      <c r="D49">
        <v>1097381</v>
      </c>
      <c r="E49">
        <v>1098275</v>
      </c>
      <c r="F49">
        <v>1101183</v>
      </c>
      <c r="G49">
        <v>1110415</v>
      </c>
      <c r="H49">
        <v>1114521</v>
      </c>
    </row>
    <row r="50" spans="1:8">
      <c r="A50" t="s">
        <v>2862</v>
      </c>
      <c r="B50">
        <v>5118250</v>
      </c>
      <c r="C50">
        <v>5131992</v>
      </c>
      <c r="D50">
        <v>5194346</v>
      </c>
      <c r="E50">
        <v>5288957</v>
      </c>
      <c r="F50">
        <v>5390798</v>
      </c>
      <c r="G50">
        <v>5490316</v>
      </c>
      <c r="H50">
        <v>5570274</v>
      </c>
    </row>
    <row r="51" spans="1:8">
      <c r="A51" t="s">
        <v>2863</v>
      </c>
      <c r="B51">
        <v>886656</v>
      </c>
      <c r="C51">
        <v>887808</v>
      </c>
      <c r="D51">
        <v>896303</v>
      </c>
      <c r="E51">
        <v>909156</v>
      </c>
      <c r="F51">
        <v>917739</v>
      </c>
      <c r="G51">
        <v>927110</v>
      </c>
      <c r="H51">
        <v>935094</v>
      </c>
    </row>
    <row r="52" spans="1:8">
      <c r="A52" t="s">
        <v>2864</v>
      </c>
      <c r="B52">
        <v>6912319</v>
      </c>
      <c r="C52">
        <v>6927736</v>
      </c>
      <c r="D52">
        <v>6966687</v>
      </c>
      <c r="E52">
        <v>7063325</v>
      </c>
      <c r="F52">
        <v>7153029</v>
      </c>
      <c r="G52">
        <v>7251291</v>
      </c>
      <c r="H52">
        <v>7315076</v>
      </c>
    </row>
    <row r="53" spans="1:8">
      <c r="A53" t="s">
        <v>2865</v>
      </c>
      <c r="B53">
        <v>29149498</v>
      </c>
      <c r="C53">
        <v>29237895</v>
      </c>
      <c r="D53">
        <v>29572672</v>
      </c>
      <c r="E53">
        <v>30118002</v>
      </c>
      <c r="F53">
        <v>30719247</v>
      </c>
      <c r="G53">
        <v>31318578</v>
      </c>
      <c r="H53">
        <v>31709821</v>
      </c>
    </row>
    <row r="54" spans="1:8">
      <c r="A54" t="s">
        <v>2866</v>
      </c>
      <c r="B54">
        <v>3271601</v>
      </c>
      <c r="C54">
        <v>3283970</v>
      </c>
      <c r="D54">
        <v>3339874</v>
      </c>
      <c r="E54">
        <v>3393928</v>
      </c>
      <c r="F54">
        <v>3449259</v>
      </c>
      <c r="G54">
        <v>3502983</v>
      </c>
      <c r="H54">
        <v>3538904</v>
      </c>
    </row>
    <row r="55" spans="1:8">
      <c r="A55" t="s">
        <v>2867</v>
      </c>
      <c r="B55">
        <v>643077</v>
      </c>
      <c r="C55">
        <v>642965</v>
      </c>
      <c r="D55">
        <v>647238</v>
      </c>
      <c r="E55">
        <v>647614</v>
      </c>
      <c r="F55">
        <v>647722</v>
      </c>
      <c r="G55">
        <v>646521</v>
      </c>
      <c r="H55">
        <v>644663</v>
      </c>
    </row>
    <row r="56" spans="1:8">
      <c r="A56" t="s">
        <v>2868</v>
      </c>
      <c r="B56">
        <v>8631419</v>
      </c>
      <c r="C56">
        <v>8637303</v>
      </c>
      <c r="D56">
        <v>8660007</v>
      </c>
      <c r="E56">
        <v>8681038</v>
      </c>
      <c r="F56">
        <v>8732034</v>
      </c>
      <c r="G56">
        <v>8819642</v>
      </c>
      <c r="H56">
        <v>8880107</v>
      </c>
    </row>
    <row r="57" spans="1:8">
      <c r="A57" t="s">
        <v>2869</v>
      </c>
      <c r="B57">
        <v>7707519</v>
      </c>
      <c r="C57">
        <v>7726812</v>
      </c>
      <c r="D57">
        <v>7744316</v>
      </c>
      <c r="E57">
        <v>7786828</v>
      </c>
      <c r="F57">
        <v>7838655</v>
      </c>
      <c r="G57">
        <v>7927958</v>
      </c>
      <c r="H57">
        <v>8001020</v>
      </c>
    </row>
    <row r="58" spans="1:8">
      <c r="A58" t="s">
        <v>2870</v>
      </c>
      <c r="B58">
        <v>1793759</v>
      </c>
      <c r="C58">
        <v>1791670</v>
      </c>
      <c r="D58">
        <v>1785921</v>
      </c>
      <c r="E58">
        <v>1774003</v>
      </c>
      <c r="F58">
        <v>1770036</v>
      </c>
      <c r="G58">
        <v>1767402</v>
      </c>
      <c r="H58">
        <v>1766147</v>
      </c>
    </row>
    <row r="59" spans="1:8">
      <c r="A59" t="s">
        <v>2871</v>
      </c>
      <c r="B59">
        <v>5894323</v>
      </c>
      <c r="C59">
        <v>5897371</v>
      </c>
      <c r="D59">
        <v>5882128</v>
      </c>
      <c r="E59">
        <v>5903472</v>
      </c>
      <c r="F59">
        <v>5930350</v>
      </c>
      <c r="G59">
        <v>5957168</v>
      </c>
      <c r="H59">
        <v>5972787</v>
      </c>
    </row>
    <row r="60" spans="1:8">
      <c r="A60" t="s">
        <v>2872</v>
      </c>
      <c r="B60">
        <v>576872</v>
      </c>
      <c r="C60">
        <v>577669</v>
      </c>
      <c r="D60">
        <v>579662</v>
      </c>
      <c r="E60">
        <v>581742</v>
      </c>
      <c r="F60">
        <v>584666</v>
      </c>
      <c r="G60">
        <v>586722</v>
      </c>
      <c r="H60">
        <v>588753</v>
      </c>
    </row>
    <row r="62" spans="1:8">
      <c r="A62" t="s">
        <v>2873</v>
      </c>
      <c r="B62">
        <v>3285874</v>
      </c>
      <c r="C62">
        <v>3281591</v>
      </c>
      <c r="D62">
        <v>3262731</v>
      </c>
      <c r="E62">
        <v>3220148</v>
      </c>
      <c r="F62">
        <v>3203794</v>
      </c>
      <c r="G62">
        <v>3202521</v>
      </c>
      <c r="H62">
        <v>3184835</v>
      </c>
    </row>
    <row r="63" spans="1:8">
      <c r="A63" t="s">
        <v>2874</v>
      </c>
    </row>
    <row r="64" spans="1:8">
      <c r="A64" t="s">
        <v>2875</v>
      </c>
    </row>
    <row r="65" spans="1:1">
      <c r="A65" t="s">
        <v>2876</v>
      </c>
    </row>
    <row r="66" spans="1:1">
      <c r="A66" t="s">
        <v>2877</v>
      </c>
    </row>
    <row r="67" spans="1:1">
      <c r="A67" t="s">
        <v>2878</v>
      </c>
    </row>
    <row r="68" spans="1:1">
      <c r="A68" t="s">
        <v>2879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workbookViewId="0">
      <selection activeCell="H12" sqref="H12"/>
    </sheetView>
  </sheetViews>
  <sheetFormatPr defaultColWidth="9.1328125" defaultRowHeight="14.25"/>
  <cols>
    <col min="4" max="4" width="11" bestFit="1" customWidth="1"/>
    <col min="5" max="6"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2026 Table 7 raw'!15:15,MATCH($E$2,'AEO 2026 Table 7 raw'!10:10,0))</f>
        <v>1</v>
      </c>
      <c r="F3">
        <f>INDEX('AEO 2026 Table 7 raw'!15:15,MATCH(F2,'AEO 2026 Table 7 raw'!10:10,0))/INDEX('AEO 2026 Table 7 raw'!15:15,MATCH($E$2,'AEO 2026 Table 7 raw'!10:10,0))</f>
        <v>1.0072233198263194</v>
      </c>
      <c r="G3">
        <f>INDEX('AEO 2026 Table 7 raw'!15:15,MATCH(G2,'AEO 2026 Table 7 raw'!10:10,0))/INDEX('AEO 2026 Table 7 raw'!15:15,MATCH($E$2,'AEO 2026 Table 7 raw'!10:10,0))</f>
        <v>1.0158864775375587</v>
      </c>
      <c r="H3">
        <f>INDEX('AEO 2026 Table 7 raw'!15:15,MATCH(H2,'AEO 2026 Table 7 raw'!10:10,0))/INDEX('AEO 2026 Table 7 raw'!15:15,MATCH($E$2,'AEO 2026 Table 7 raw'!10:10,0))</f>
        <v>1.0214719356128747</v>
      </c>
      <c r="I3">
        <f>INDEX('AEO 2026 Table 7 raw'!15:15,MATCH(I2,'AEO 2026 Table 7 raw'!10:10,0))/INDEX('AEO 2026 Table 7 raw'!15:15,MATCH($E$2,'AEO 2026 Table 7 raw'!10:10,0))</f>
        <v>1.0266537032309233</v>
      </c>
      <c r="J3">
        <f>INDEX('AEO 2026 Table 7 raw'!15:15,MATCH(J2,'AEO 2026 Table 7 raw'!10:10,0))/INDEX('AEO 2026 Table 7 raw'!15:15,MATCH($E$2,'AEO 2026 Table 7 raw'!10:10,0))</f>
        <v>1.0310951569940252</v>
      </c>
      <c r="K3">
        <f>INDEX('AEO 2026 Table 7 raw'!15:15,MATCH(K2,'AEO 2026 Table 7 raw'!10:10,0))/INDEX('AEO 2026 Table 7 raw'!15:15,MATCH($E$2,'AEO 2026 Table 7 raw'!10:10,0))</f>
        <v>1.0350232600756664</v>
      </c>
      <c r="L3">
        <f>INDEX('AEO 2026 Table 7 raw'!15:15,MATCH(L2,'AEO 2026 Table 7 raw'!10:10,0))/INDEX('AEO 2026 Table 7 raw'!15:15,MATCH($E$2,'AEO 2026 Table 7 raw'!10:10,0))</f>
        <v>1.0391198466027787</v>
      </c>
      <c r="M3">
        <f>INDEX('AEO 2026 Table 7 raw'!15:15,MATCH(M2,'AEO 2026 Table 7 raw'!10:10,0))/INDEX('AEO 2026 Table 7 raw'!15:15,MATCH($E$2,'AEO 2026 Table 7 raw'!10:10,0))</f>
        <v>1.0418110304445807</v>
      </c>
      <c r="N3">
        <f>INDEX('AEO 2026 Table 7 raw'!15:15,MATCH(N2,'AEO 2026 Table 7 raw'!10:10,0))/INDEX('AEO 2026 Table 7 raw'!15:15,MATCH($E$2,'AEO 2026 Table 7 raw'!10:10,0))</f>
        <v>1.0451077929089423</v>
      </c>
      <c r="O3">
        <f>INDEX('AEO 2026 Table 7 raw'!15:15,MATCH(O2,'AEO 2026 Table 7 raw'!10:10,0))/INDEX('AEO 2026 Table 7 raw'!15:15,MATCH($E$2,'AEO 2026 Table 7 raw'!10:10,0))</f>
        <v>1.0475481407954841</v>
      </c>
      <c r="P3">
        <f>INDEX('AEO 2026 Table 7 raw'!15:15,MATCH(P2,'AEO 2026 Table 7 raw'!10:10,0))/INDEX('AEO 2026 Table 7 raw'!15:15,MATCH($E$2,'AEO 2026 Table 7 raw'!10:10,0))</f>
        <v>1.0506947967039417</v>
      </c>
      <c r="Q3">
        <f>INDEX('AEO 2026 Table 7 raw'!15:15,MATCH(Q2,'AEO 2026 Table 7 raw'!10:10,0))/INDEX('AEO 2026 Table 7 raw'!15:15,MATCH($E$2,'AEO 2026 Table 7 raw'!10:10,0))</f>
        <v>1.0542815533555385</v>
      </c>
      <c r="R3">
        <f>INDEX('AEO 2026 Table 7 raw'!15:15,MATCH(R2,'AEO 2026 Table 7 raw'!10:10,0))/INDEX('AEO 2026 Table 7 raw'!15:15,MATCH($E$2,'AEO 2026 Table 7 raw'!10:10,0))</f>
        <v>1.0579271332284133</v>
      </c>
      <c r="S3">
        <f>INDEX('AEO 2026 Table 7 raw'!15:15,MATCH(S2,'AEO 2026 Table 7 raw'!10:10,0))/INDEX('AEO 2026 Table 7 raw'!15:15,MATCH($E$2,'AEO 2026 Table 7 raw'!10:10,0))</f>
        <v>1.0609620679531004</v>
      </c>
      <c r="T3">
        <f>INDEX('AEO 2026 Table 7 raw'!15:15,MATCH(T2,'AEO 2026 Table 7 raw'!10:10,0))/INDEX('AEO 2026 Table 7 raw'!15:15,MATCH($E$2,'AEO 2026 Table 7 raw'!10:10,0))</f>
        <v>1.0642022399023929</v>
      </c>
      <c r="U3">
        <f>INDEX('AEO 2026 Table 7 raw'!15:15,MATCH(U2,'AEO 2026 Table 7 raw'!10:10,0))/INDEX('AEO 2026 Table 7 raw'!15:15,MATCH($E$2,'AEO 2026 Table 7 raw'!10:10,0))</f>
        <v>1.0665870277536544</v>
      </c>
      <c r="V3">
        <f>INDEX('AEO 2026 Table 7 raw'!15:15,MATCH(V2,'AEO 2026 Table 7 raw'!10:10,0))/INDEX('AEO 2026 Table 7 raw'!15:15,MATCH($E$2,'AEO 2026 Table 7 raw'!10:10,0))</f>
        <v>1.0688455818307865</v>
      </c>
      <c r="W3">
        <f>INDEX('AEO 2026 Table 7 raw'!15:15,MATCH(W2,'AEO 2026 Table 7 raw'!10:10,0))/INDEX('AEO 2026 Table 7 raw'!15:15,MATCH($E$2,'AEO 2026 Table 7 raw'!10:10,0))</f>
        <v>1.0707578088255614</v>
      </c>
      <c r="X3">
        <f>INDEX('AEO 2026 Table 7 raw'!15:15,MATCH(X2,'AEO 2026 Table 7 raw'!10:10,0))/INDEX('AEO 2026 Table 7 raw'!15:15,MATCH($E$2,'AEO 2026 Table 7 raw'!10:10,0))</f>
        <v>1.072900691546399</v>
      </c>
      <c r="Y3">
        <f>INDEX('AEO 2026 Table 7 raw'!15:15,MATCH(Y2,'AEO 2026 Table 7 raw'!10:10,0))/INDEX('AEO 2026 Table 7 raw'!15:15,MATCH($E$2,'AEO 2026 Table 7 raw'!10:10,0))</f>
        <v>1.0748167828403818</v>
      </c>
      <c r="Z3">
        <f>INDEX('AEO 2026 Table 7 raw'!15:15,MATCH(Z2,'AEO 2026 Table 7 raw'!10:10,0))/INDEX('AEO 2026 Table 7 raw'!15:15,MATCH($E$2,'AEO 2026 Table 7 raw'!10:10,0))</f>
        <v>1.0764562761843841</v>
      </c>
      <c r="AA3">
        <f>INDEX('AEO 2026 Table 7 raw'!15:15,MATCH(AA2,'AEO 2026 Table 7 raw'!10:10,0))/INDEX('AEO 2026 Table 7 raw'!15:15,MATCH($E$2,'AEO 2026 Table 7 raw'!10:10,0))</f>
        <v>1.0772840090747484</v>
      </c>
      <c r="AB3">
        <f>INDEX('AEO 2026 Table 7 raw'!15:15,MATCH(AB2,'AEO 2026 Table 7 raw'!10:10,0))/INDEX('AEO 2026 Table 7 raw'!15:15,MATCH($E$2,'AEO 2026 Table 7 raw'!10:10,0))</f>
        <v>1.078237803992611</v>
      </c>
      <c r="AC3">
        <f>INDEX('AEO 2026 Table 7 raw'!15:15,MATCH(AC2,'AEO 2026 Table 7 raw'!10:10,0))/INDEX('AEO 2026 Table 7 raw'!15:15,MATCH($E$2,'AEO 2026 Table 7 raw'!10:10,0))</f>
        <v>1.0789479763137351</v>
      </c>
      <c r="AD3">
        <f>INDEX('AEO 2026 Table 7 raw'!15:15,MATCH(AD2,'AEO 2026 Table 7 raw'!10:10,0))/INDEX('AEO 2026 Table 7 raw'!15:15,MATCH($E$2,'AEO 2026 Table 7 raw'!10:10,0))</f>
        <v>1.0800628695719154</v>
      </c>
    </row>
    <row r="4" spans="1:30">
      <c r="B4" t="s">
        <v>118</v>
      </c>
      <c r="C4">
        <v>1</v>
      </c>
      <c r="D4">
        <f>INDEX('AEO 2025 Table 7'!13:13,MATCH(D2,'AEO 2025 Table 7'!5:5,0))/INDEX('AEO 2025 Table 7'!13:13,MATCH($D$2,'AEO 2025 Table 7'!5:5,0))</f>
        <v>1</v>
      </c>
      <c r="E4">
        <f>INDEX('AEO 2026 Table 7 raw'!19:19,MATCH(E2,'AEO 2026 Table 7 raw'!10:10,0))/INDEX('AEO 2026 Table 7 raw'!19:19,MATCH($E$2,'AEO 2026 Table 7 raw'!10:10,0))</f>
        <v>1</v>
      </c>
      <c r="F4">
        <f>INDEX('AEO 2026 Table 7 raw'!19:19,MATCH(F2,'AEO 2026 Table 7 raw'!10:10,0))/INDEX('AEO 2026 Table 7 raw'!19:19,MATCH($E$2,'AEO 2026 Table 7 raw'!10:10,0))</f>
        <v>1.0190449788365823</v>
      </c>
      <c r="G4">
        <f>INDEX('AEO 2026 Table 7 raw'!19:19,MATCH(G2,'AEO 2026 Table 7 raw'!10:10,0))/INDEX('AEO 2026 Table 7 raw'!19:19,MATCH($E$2,'AEO 2026 Table 7 raw'!10:10,0))</f>
        <v>1.0323155590215847</v>
      </c>
      <c r="H4">
        <f>INDEX('AEO 2026 Table 7 raw'!19:19,MATCH(H2,'AEO 2026 Table 7 raw'!10:10,0))/INDEX('AEO 2026 Table 7 raw'!19:19,MATCH($E$2,'AEO 2026 Table 7 raw'!10:10,0))</f>
        <v>1.0421306038760074</v>
      </c>
      <c r="I4">
        <f>INDEX('AEO 2026 Table 7 raw'!19:19,MATCH(I2,'AEO 2026 Table 7 raw'!10:10,0))/INDEX('AEO 2026 Table 7 raw'!19:19,MATCH($E$2,'AEO 2026 Table 7 raw'!10:10,0))</f>
        <v>1.0507403046071295</v>
      </c>
      <c r="J4">
        <f>INDEX('AEO 2026 Table 7 raw'!19:19,MATCH(J2,'AEO 2026 Table 7 raw'!10:10,0))/INDEX('AEO 2026 Table 7 raw'!19:19,MATCH($E$2,'AEO 2026 Table 7 raw'!10:10,0))</f>
        <v>1.057946508092912</v>
      </c>
      <c r="K4">
        <f>INDEX('AEO 2026 Table 7 raw'!19:19,MATCH(K2,'AEO 2026 Table 7 raw'!10:10,0))/INDEX('AEO 2026 Table 7 raw'!19:19,MATCH($E$2,'AEO 2026 Table 7 raw'!10:10,0))</f>
        <v>1.0635888046631334</v>
      </c>
      <c r="L4">
        <f>INDEX('AEO 2026 Table 7 raw'!19:19,MATCH(L2,'AEO 2026 Table 7 raw'!10:10,0))/INDEX('AEO 2026 Table 7 raw'!19:19,MATCH($E$2,'AEO 2026 Table 7 raw'!10:10,0))</f>
        <v>1.0688166222161797</v>
      </c>
      <c r="M4">
        <f>INDEX('AEO 2026 Table 7 raw'!19:19,MATCH(M2,'AEO 2026 Table 7 raw'!10:10,0))/INDEX('AEO 2026 Table 7 raw'!19:19,MATCH($E$2,'AEO 2026 Table 7 raw'!10:10,0))</f>
        <v>1.0745398225743237</v>
      </c>
      <c r="N4">
        <f>INDEX('AEO 2026 Table 7 raw'!19:19,MATCH(N2,'AEO 2026 Table 7 raw'!10:10,0))/INDEX('AEO 2026 Table 7 raw'!19:19,MATCH($E$2,'AEO 2026 Table 7 raw'!10:10,0))</f>
        <v>1.0798008403859127</v>
      </c>
      <c r="O4">
        <f>INDEX('AEO 2026 Table 7 raw'!19:19,MATCH(O2,'AEO 2026 Table 7 raw'!10:10,0))/INDEX('AEO 2026 Table 7 raw'!19:19,MATCH($E$2,'AEO 2026 Table 7 raw'!10:10,0))</f>
        <v>1.0853974429160866</v>
      </c>
      <c r="P4">
        <f>INDEX('AEO 2026 Table 7 raw'!19:19,MATCH(P2,'AEO 2026 Table 7 raw'!10:10,0))/INDEX('AEO 2026 Table 7 raw'!19:19,MATCH($E$2,'AEO 2026 Table 7 raw'!10:10,0))</f>
        <v>1.090214887799726</v>
      </c>
      <c r="Q4">
        <f>INDEX('AEO 2026 Table 7 raw'!19:19,MATCH(Q2,'AEO 2026 Table 7 raw'!10:10,0))/INDEX('AEO 2026 Table 7 raw'!19:19,MATCH($E$2,'AEO 2026 Table 7 raw'!10:10,0))</f>
        <v>1.0951717737692446</v>
      </c>
      <c r="R4">
        <f>INDEX('AEO 2026 Table 7 raw'!19:19,MATCH(R2,'AEO 2026 Table 7 raw'!10:10,0))/INDEX('AEO 2026 Table 7 raw'!19:19,MATCH($E$2,'AEO 2026 Table 7 raw'!10:10,0))</f>
        <v>1.0996301316460146</v>
      </c>
      <c r="S4">
        <f>INDEX('AEO 2026 Table 7 raw'!19:19,MATCH(S2,'AEO 2026 Table 7 raw'!10:10,0))/INDEX('AEO 2026 Table 7 raw'!19:19,MATCH($E$2,'AEO 2026 Table 7 raw'!10:10,0))</f>
        <v>1.104072850453629</v>
      </c>
      <c r="T4">
        <f>INDEX('AEO 2026 Table 7 raw'!19:19,MATCH(T2,'AEO 2026 Table 7 raw'!10:10,0))/INDEX('AEO 2026 Table 7 raw'!19:19,MATCH($E$2,'AEO 2026 Table 7 raw'!10:10,0))</f>
        <v>1.1084681278391679</v>
      </c>
      <c r="U4">
        <f>INDEX('AEO 2026 Table 7 raw'!19:19,MATCH(U2,'AEO 2026 Table 7 raw'!10:10,0))/INDEX('AEO 2026 Table 7 raw'!19:19,MATCH($E$2,'AEO 2026 Table 7 raw'!10:10,0))</f>
        <v>1.1120982266344004</v>
      </c>
      <c r="V4">
        <f>INDEX('AEO 2026 Table 7 raw'!19:19,MATCH(V2,'AEO 2026 Table 7 raw'!10:10,0))/INDEX('AEO 2026 Table 7 raw'!19:19,MATCH($E$2,'AEO 2026 Table 7 raw'!10:10,0))</f>
        <v>1.1156849903553248</v>
      </c>
      <c r="W4">
        <f>INDEX('AEO 2026 Table 7 raw'!19:19,MATCH(W2,'AEO 2026 Table 7 raw'!10:10,0))/INDEX('AEO 2026 Table 7 raw'!19:19,MATCH($E$2,'AEO 2026 Table 7 raw'!10:10,0))</f>
        <v>1.1189368683104755</v>
      </c>
      <c r="X4">
        <f>INDEX('AEO 2026 Table 7 raw'!19:19,MATCH(X2,'AEO 2026 Table 7 raw'!10:10,0))/INDEX('AEO 2026 Table 7 raw'!19:19,MATCH($E$2,'AEO 2026 Table 7 raw'!10:10,0))</f>
        <v>1.1220701863949882</v>
      </c>
      <c r="Y4">
        <f>INDEX('AEO 2026 Table 7 raw'!19:19,MATCH(Y2,'AEO 2026 Table 7 raw'!10:10,0))/INDEX('AEO 2026 Table 7 raw'!19:19,MATCH($E$2,'AEO 2026 Table 7 raw'!10:10,0))</f>
        <v>1.1250920215060789</v>
      </c>
      <c r="Z4">
        <f>INDEX('AEO 2026 Table 7 raw'!19:19,MATCH(Z2,'AEO 2026 Table 7 raw'!10:10,0))/INDEX('AEO 2026 Table 7 raw'!19:19,MATCH($E$2,'AEO 2026 Table 7 raw'!10:10,0))</f>
        <v>1.1277228798882792</v>
      </c>
      <c r="AA4">
        <f>INDEX('AEO 2026 Table 7 raw'!19:19,MATCH(AA2,'AEO 2026 Table 7 raw'!10:10,0))/INDEX('AEO 2026 Table 7 raw'!19:19,MATCH($E$2,'AEO 2026 Table 7 raw'!10:10,0))</f>
        <v>1.1302394594858116</v>
      </c>
      <c r="AB4">
        <f>INDEX('AEO 2026 Table 7 raw'!19:19,MATCH(AB2,'AEO 2026 Table 7 raw'!10:10,0))/INDEX('AEO 2026 Table 7 raw'!19:19,MATCH($E$2,'AEO 2026 Table 7 raw'!10:10,0))</f>
        <v>1.132368906594917</v>
      </c>
      <c r="AC4">
        <f>INDEX('AEO 2026 Table 7 raw'!19:19,MATCH(AC2,'AEO 2026 Table 7 raw'!10:10,0))/INDEX('AEO 2026 Table 7 raw'!19:19,MATCH($E$2,'AEO 2026 Table 7 raw'!10:10,0))</f>
        <v>1.1343181112477754</v>
      </c>
      <c r="AD4">
        <f>INDEX('AEO 2026 Table 7 raw'!19:19,MATCH(AD2,'AEO 2026 Table 7 raw'!10:10,0))/INDEX('AEO 2026 Table 7 raw'!19:19,MATCH($E$2,'AEO 2026 Table 7 raw'!10:10,0))</f>
        <v>1.1361936637481307</v>
      </c>
    </row>
    <row r="5" spans="1:30">
      <c r="B5" t="s">
        <v>116</v>
      </c>
      <c r="C5">
        <v>1</v>
      </c>
      <c r="D5">
        <f>INDEX('AEO 2025 Table 7'!16:16,MATCH(D2,'AEO 2025 Table 7'!5:5,0))/INDEX('AEO 2025 Table 7'!16:16,MATCH($D$2,'AEO 2025 Table 7'!5:5,0))</f>
        <v>1</v>
      </c>
      <c r="E5">
        <f>INDEX('AEO 2026 Table 7 raw'!22:22,MATCH(E2,'AEO 2026 Table 7 raw'!10:10,0))/INDEX('AEO 2026 Table 7 raw'!22:22,MATCH($E$2,'AEO 2026 Table 7 raw'!10:10,0))</f>
        <v>1</v>
      </c>
      <c r="F5">
        <f>INDEX('AEO 2026 Table 7 raw'!22:22,MATCH(F2,'AEO 2026 Table 7 raw'!10:10,0))/INDEX('AEO 2026 Table 7 raw'!22:22,MATCH($E$2,'AEO 2026 Table 7 raw'!10:10,0))</f>
        <v>1.032477399740966</v>
      </c>
      <c r="G5">
        <f>INDEX('AEO 2026 Table 7 raw'!22:22,MATCH(G2,'AEO 2026 Table 7 raw'!10:10,0))/INDEX('AEO 2026 Table 7 raw'!22:22,MATCH($E$2,'AEO 2026 Table 7 raw'!10:10,0))</f>
        <v>1.0524095440255241</v>
      </c>
      <c r="H5">
        <f>INDEX('AEO 2026 Table 7 raw'!22:22,MATCH(H2,'AEO 2026 Table 7 raw'!10:10,0))/INDEX('AEO 2026 Table 7 raw'!22:22,MATCH($E$2,'AEO 2026 Table 7 raw'!10:10,0))</f>
        <v>1.0615640738975591</v>
      </c>
      <c r="I5">
        <f>INDEX('AEO 2026 Table 7 raw'!22:22,MATCH(I2,'AEO 2026 Table 7 raw'!10:10,0))/INDEX('AEO 2026 Table 7 raw'!22:22,MATCH($E$2,'AEO 2026 Table 7 raw'!10:10,0))</f>
        <v>1.0755797883225811</v>
      </c>
      <c r="J5">
        <f>INDEX('AEO 2026 Table 7 raw'!22:22,MATCH(J2,'AEO 2026 Table 7 raw'!10:10,0))/INDEX('AEO 2026 Table 7 raw'!22:22,MATCH($E$2,'AEO 2026 Table 7 raw'!10:10,0))</f>
        <v>1.0937832634471882</v>
      </c>
      <c r="K5">
        <f>INDEX('AEO 2026 Table 7 raw'!22:22,MATCH(K2,'AEO 2026 Table 7 raw'!10:10,0))/INDEX('AEO 2026 Table 7 raw'!22:22,MATCH($E$2,'AEO 2026 Table 7 raw'!10:10,0))</f>
        <v>1.1111440359626363</v>
      </c>
      <c r="L5">
        <f>INDEX('AEO 2026 Table 7 raw'!22:22,MATCH(L2,'AEO 2026 Table 7 raw'!10:10,0))/INDEX('AEO 2026 Table 7 raw'!22:22,MATCH($E$2,'AEO 2026 Table 7 raw'!10:10,0))</f>
        <v>1.1329588484374851</v>
      </c>
      <c r="M5">
        <f>INDEX('AEO 2026 Table 7 raw'!22:22,MATCH(M2,'AEO 2026 Table 7 raw'!10:10,0))/INDEX('AEO 2026 Table 7 raw'!22:22,MATCH($E$2,'AEO 2026 Table 7 raw'!10:10,0))</f>
        <v>1.1567433720328146</v>
      </c>
      <c r="N5">
        <f>INDEX('AEO 2026 Table 7 raw'!22:22,MATCH(N2,'AEO 2026 Table 7 raw'!10:10,0))/INDEX('AEO 2026 Table 7 raw'!22:22,MATCH($E$2,'AEO 2026 Table 7 raw'!10:10,0))</f>
        <v>1.1829731667419781</v>
      </c>
      <c r="O5">
        <f>INDEX('AEO 2026 Table 7 raw'!22:22,MATCH(O2,'AEO 2026 Table 7 raw'!10:10,0))/INDEX('AEO 2026 Table 7 raw'!22:22,MATCH($E$2,'AEO 2026 Table 7 raw'!10:10,0))</f>
        <v>1.2118570840927412</v>
      </c>
      <c r="P5">
        <f>INDEX('AEO 2026 Table 7 raw'!22:22,MATCH(P2,'AEO 2026 Table 7 raw'!10:10,0))/INDEX('AEO 2026 Table 7 raw'!22:22,MATCH($E$2,'AEO 2026 Table 7 raw'!10:10,0))</f>
        <v>1.233787610443229</v>
      </c>
      <c r="Q5">
        <f>INDEX('AEO 2026 Table 7 raw'!22:22,MATCH(Q2,'AEO 2026 Table 7 raw'!10:10,0))/INDEX('AEO 2026 Table 7 raw'!22:22,MATCH($E$2,'AEO 2026 Table 7 raw'!10:10,0))</f>
        <v>1.2558553967990178</v>
      </c>
      <c r="R5">
        <f>INDEX('AEO 2026 Table 7 raw'!22:22,MATCH(R2,'AEO 2026 Table 7 raw'!10:10,0))/INDEX('AEO 2026 Table 7 raw'!22:22,MATCH($E$2,'AEO 2026 Table 7 raw'!10:10,0))</f>
        <v>1.2777326157928492</v>
      </c>
      <c r="S5">
        <f>INDEX('AEO 2026 Table 7 raw'!22:22,MATCH(S2,'AEO 2026 Table 7 raw'!10:10,0))/INDEX('AEO 2026 Table 7 raw'!22:22,MATCH($E$2,'AEO 2026 Table 7 raw'!10:10,0))</f>
        <v>1.2986636935869105</v>
      </c>
      <c r="T5">
        <f>INDEX('AEO 2026 Table 7 raw'!22:22,MATCH(T2,'AEO 2026 Table 7 raw'!10:10,0))/INDEX('AEO 2026 Table 7 raw'!22:22,MATCH($E$2,'AEO 2026 Table 7 raw'!10:10,0))</f>
        <v>1.3201105908755659</v>
      </c>
      <c r="U5">
        <f>INDEX('AEO 2026 Table 7 raw'!22:22,MATCH(U2,'AEO 2026 Table 7 raw'!10:10,0))/INDEX('AEO 2026 Table 7 raw'!22:22,MATCH($E$2,'AEO 2026 Table 7 raw'!10:10,0))</f>
        <v>1.3402183661612797</v>
      </c>
      <c r="V5">
        <f>INDEX('AEO 2026 Table 7 raw'!22:22,MATCH(V2,'AEO 2026 Table 7 raw'!10:10,0))/INDEX('AEO 2026 Table 7 raw'!22:22,MATCH($E$2,'AEO 2026 Table 7 raw'!10:10,0))</f>
        <v>1.3614918643187852</v>
      </c>
      <c r="W5">
        <f>INDEX('AEO 2026 Table 7 raw'!22:22,MATCH(W2,'AEO 2026 Table 7 raw'!10:10,0))/INDEX('AEO 2026 Table 7 raw'!22:22,MATCH($E$2,'AEO 2026 Table 7 raw'!10:10,0))</f>
        <v>1.3841832866586365</v>
      </c>
      <c r="X5">
        <f>INDEX('AEO 2026 Table 7 raw'!22:22,MATCH(X2,'AEO 2026 Table 7 raw'!10:10,0))/INDEX('AEO 2026 Table 7 raw'!22:22,MATCH($E$2,'AEO 2026 Table 7 raw'!10:10,0))</f>
        <v>1.4068541071215195</v>
      </c>
      <c r="Y5">
        <f>INDEX('AEO 2026 Table 7 raw'!22:22,MATCH(Y2,'AEO 2026 Table 7 raw'!10:10,0))/INDEX('AEO 2026 Table 7 raw'!22:22,MATCH($E$2,'AEO 2026 Table 7 raw'!10:10,0))</f>
        <v>1.4297236498559927</v>
      </c>
      <c r="Z5">
        <f>INDEX('AEO 2026 Table 7 raw'!22:22,MATCH(Z2,'AEO 2026 Table 7 raw'!10:10,0))/INDEX('AEO 2026 Table 7 raw'!22:22,MATCH($E$2,'AEO 2026 Table 7 raw'!10:10,0))</f>
        <v>1.4516135733406219</v>
      </c>
      <c r="AA5">
        <f>INDEX('AEO 2026 Table 7 raw'!22:22,MATCH(AA2,'AEO 2026 Table 7 raw'!10:10,0))/INDEX('AEO 2026 Table 7 raw'!22:22,MATCH($E$2,'AEO 2026 Table 7 raw'!10:10,0))</f>
        <v>1.4715409105205546</v>
      </c>
      <c r="AB5">
        <f>INDEX('AEO 2026 Table 7 raw'!22:22,MATCH(AB2,'AEO 2026 Table 7 raw'!10:10,0))/INDEX('AEO 2026 Table 7 raw'!22:22,MATCH($E$2,'AEO 2026 Table 7 raw'!10:10,0))</f>
        <v>1.4917087746140925</v>
      </c>
      <c r="AC5">
        <f>INDEX('AEO 2026 Table 7 raw'!22:22,MATCH(AC2,'AEO 2026 Table 7 raw'!10:10,0))/INDEX('AEO 2026 Table 7 raw'!22:22,MATCH($E$2,'AEO 2026 Table 7 raw'!10:10,0))</f>
        <v>1.5108346987799568</v>
      </c>
      <c r="AD5">
        <f>INDEX('AEO 2026 Table 7 raw'!22:22,MATCH(AD2,'AEO 2026 Table 7 raw'!10:10,0))/INDEX('AEO 2026 Table 7 raw'!22:22,MATCH($E$2,'AEO 2026 Table 7 raw'!10:10,0))</f>
        <v>1.5305191054939713</v>
      </c>
    </row>
    <row r="6" spans="1:30">
      <c r="B6" t="s">
        <v>121</v>
      </c>
      <c r="C6">
        <v>1</v>
      </c>
      <c r="D6">
        <v>1</v>
      </c>
      <c r="E6" s="5">
        <f>INDEX('AEO 2026 Table 7 raw'!20:20,MATCH(E2,'AEO 2026 Table 7 raw'!10:10,0))/INDEX('AEO 2026 Table 7 raw'!20:20,MATCH($E$2,'AEO 2026 Table 7 raw'!10:10,0))</f>
        <v>1</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122</v>
      </c>
      <c r="C7">
        <v>1</v>
      </c>
      <c r="D7">
        <f>INDEX('AEO 2025 Table 7'!53:53,MATCH(D2,'AEO 2025 Table 7'!5:5,0))/INDEX('AEO 2025 Table 7'!53:53,MATCH($D$2,'AEO 2025 Table 7'!5:5,0))</f>
        <v>1</v>
      </c>
      <c r="E7">
        <f>INDEX('AEO 2026 Table 7 raw'!61:61,MATCH(E2,'AEO 2026 Table 7 raw'!10:10,0))/INDEX('AEO 2026 Table 7 raw'!61:61,MATCH($E$2,'AEO 2026 Table 7 raw'!10:10,0))</f>
        <v>1</v>
      </c>
      <c r="F7">
        <f>INDEX('AEO 2026 Table 7 raw'!61:61,MATCH(F2,'AEO 2026 Table 7 raw'!10:10,0))/INDEX('AEO 2026 Table 7 raw'!61:61,MATCH($E$2,'AEO 2026 Table 7 raw'!10:10,0))</f>
        <v>1.0030389227215093</v>
      </c>
      <c r="G7">
        <f>INDEX('AEO 2026 Table 7 raw'!61:61,MATCH(G2,'AEO 2026 Table 7 raw'!10:10,0))/INDEX('AEO 2026 Table 7 raw'!61:61,MATCH($E$2,'AEO 2026 Table 7 raw'!10:10,0))</f>
        <v>0.99897884121779124</v>
      </c>
      <c r="H7">
        <f>INDEX('AEO 2026 Table 7 raw'!61:61,MATCH(H2,'AEO 2026 Table 7 raw'!10:10,0))/INDEX('AEO 2026 Table 7 raw'!61:61,MATCH($E$2,'AEO 2026 Table 7 raw'!10:10,0))</f>
        <v>0.98892123254330333</v>
      </c>
      <c r="I7">
        <f>INDEX('AEO 2026 Table 7 raw'!61:61,MATCH(I2,'AEO 2026 Table 7 raw'!10:10,0))/INDEX('AEO 2026 Table 7 raw'!61:61,MATCH($E$2,'AEO 2026 Table 7 raw'!10:10,0))</f>
        <v>0.98128147588619274</v>
      </c>
      <c r="J7">
        <f>INDEX('AEO 2026 Table 7 raw'!61:61,MATCH(J2,'AEO 2026 Table 7 raw'!10:10,0))/INDEX('AEO 2026 Table 7 raw'!61:61,MATCH($E$2,'AEO 2026 Table 7 raw'!10:10,0))</f>
        <v>0.97591640142070291</v>
      </c>
      <c r="K7">
        <f>INDEX('AEO 2026 Table 7 raw'!61:61,MATCH(K2,'AEO 2026 Table 7 raw'!10:10,0))/INDEX('AEO 2026 Table 7 raw'!61:61,MATCH($E$2,'AEO 2026 Table 7 raw'!10:10,0))</f>
        <v>0.97011193875996593</v>
      </c>
      <c r="L7">
        <f>INDEX('AEO 2026 Table 7 raw'!61:61,MATCH(L2,'AEO 2026 Table 7 raw'!10:10,0))/INDEX('AEO 2026 Table 7 raw'!61:61,MATCH($E$2,'AEO 2026 Table 7 raw'!10:10,0))</f>
        <v>0.96663133712599758</v>
      </c>
      <c r="M7">
        <f>INDEX('AEO 2026 Table 7 raw'!61:61,MATCH(M2,'AEO 2026 Table 7 raw'!10:10,0))/INDEX('AEO 2026 Table 7 raw'!61:61,MATCH($E$2,'AEO 2026 Table 7 raw'!10:10,0))</f>
        <v>0.96433611006438047</v>
      </c>
      <c r="N7">
        <f>INDEX('AEO 2026 Table 7 raw'!61:61,MATCH(N2,'AEO 2026 Table 7 raw'!10:10,0))/INDEX('AEO 2026 Table 7 raw'!61:61,MATCH($E$2,'AEO 2026 Table 7 raw'!10:10,0))</f>
        <v>0.9632758659197399</v>
      </c>
      <c r="O7">
        <f>INDEX('AEO 2026 Table 7 raw'!61:61,MATCH(O2,'AEO 2026 Table 7 raw'!10:10,0))/INDEX('AEO 2026 Table 7 raw'!61:61,MATCH($E$2,'AEO 2026 Table 7 raw'!10:10,0))</f>
        <v>0.96351259722662863</v>
      </c>
      <c r="P7">
        <f>INDEX('AEO 2026 Table 7 raw'!61:61,MATCH(P2,'AEO 2026 Table 7 raw'!10:10,0))/INDEX('AEO 2026 Table 7 raw'!61:61,MATCH($E$2,'AEO 2026 Table 7 raw'!10:10,0))</f>
        <v>0.96073975562628777</v>
      </c>
      <c r="Q7">
        <f>INDEX('AEO 2026 Table 7 raw'!61:61,MATCH(Q2,'AEO 2026 Table 7 raw'!10:10,0))/INDEX('AEO 2026 Table 7 raw'!61:61,MATCH($E$2,'AEO 2026 Table 7 raw'!10:10,0))</f>
        <v>0.95798903376402622</v>
      </c>
      <c r="R7">
        <f>INDEX('AEO 2026 Table 7 raw'!61:61,MATCH(R2,'AEO 2026 Table 7 raw'!10:10,0))/INDEX('AEO 2026 Table 7 raw'!61:61,MATCH($E$2,'AEO 2026 Table 7 raw'!10:10,0))</f>
        <v>0.9550563430532284</v>
      </c>
      <c r="S7">
        <f>INDEX('AEO 2026 Table 7 raw'!61:61,MATCH(S2,'AEO 2026 Table 7 raw'!10:10,0))/INDEX('AEO 2026 Table 7 raw'!61:61,MATCH($E$2,'AEO 2026 Table 7 raw'!10:10,0))</f>
        <v>0.95203596082415454</v>
      </c>
      <c r="T7">
        <f>INDEX('AEO 2026 Table 7 raw'!61:61,MATCH(T2,'AEO 2026 Table 7 raw'!10:10,0))/INDEX('AEO 2026 Table 7 raw'!61:61,MATCH($E$2,'AEO 2026 Table 7 raw'!10:10,0))</f>
        <v>0.94909346298029151</v>
      </c>
      <c r="U7">
        <f>INDEX('AEO 2026 Table 7 raw'!61:61,MATCH(U2,'AEO 2026 Table 7 raw'!10:10,0))/INDEX('AEO 2026 Table 7 raw'!61:61,MATCH($E$2,'AEO 2026 Table 7 raw'!10:10,0))</f>
        <v>0.94538450547424147</v>
      </c>
      <c r="V7">
        <f>INDEX('AEO 2026 Table 7 raw'!61:61,MATCH(V2,'AEO 2026 Table 7 raw'!10:10,0))/INDEX('AEO 2026 Table 7 raw'!61:61,MATCH($E$2,'AEO 2026 Table 7 raw'!10:10,0))</f>
        <v>0.94209095521762398</v>
      </c>
      <c r="W7">
        <f>INDEX('AEO 2026 Table 7 raw'!61:61,MATCH(W2,'AEO 2026 Table 7 raw'!10:10,0))/INDEX('AEO 2026 Table 7 raw'!61:61,MATCH($E$2,'AEO 2026 Table 7 raw'!10:10,0))</f>
        <v>0.93908310034830356</v>
      </c>
      <c r="X7">
        <f>INDEX('AEO 2026 Table 7 raw'!61:61,MATCH(X2,'AEO 2026 Table 7 raw'!10:10,0))/INDEX('AEO 2026 Table 7 raw'!61:61,MATCH($E$2,'AEO 2026 Table 7 raw'!10:10,0))</f>
        <v>0.93606171593044951</v>
      </c>
      <c r="Y7">
        <f>INDEX('AEO 2026 Table 7 raw'!61:61,MATCH(Y2,'AEO 2026 Table 7 raw'!10:10,0))/INDEX('AEO 2026 Table 7 raw'!61:61,MATCH($E$2,'AEO 2026 Table 7 raw'!10:10,0))</f>
        <v>0.93299344339465984</v>
      </c>
      <c r="Z7">
        <f>INDEX('AEO 2026 Table 7 raw'!61:61,MATCH(Z2,'AEO 2026 Table 7 raw'!10:10,0))/INDEX('AEO 2026 Table 7 raw'!61:61,MATCH($E$2,'AEO 2026 Table 7 raw'!10:10,0))</f>
        <v>0.92943259507335452</v>
      </c>
      <c r="AA7">
        <f>INDEX('AEO 2026 Table 7 raw'!61:61,MATCH(AA2,'AEO 2026 Table 7 raw'!10:10,0))/INDEX('AEO 2026 Table 7 raw'!61:61,MATCH($E$2,'AEO 2026 Table 7 raw'!10:10,0))</f>
        <v>0.92519276385339866</v>
      </c>
      <c r="AB7">
        <f>INDEX('AEO 2026 Table 7 raw'!61:61,MATCH(AB2,'AEO 2026 Table 7 raw'!10:10,0))/INDEX('AEO 2026 Table 7 raw'!61:61,MATCH($E$2,'AEO 2026 Table 7 raw'!10:10,0))</f>
        <v>0.92079186657946654</v>
      </c>
      <c r="AC7">
        <f>INDEX('AEO 2026 Table 7 raw'!61:61,MATCH(AC2,'AEO 2026 Table 7 raw'!10:10,0))/INDEX('AEO 2026 Table 7 raw'!61:61,MATCH($E$2,'AEO 2026 Table 7 raw'!10:10,0))</f>
        <v>0.9159893063593747</v>
      </c>
      <c r="AD7">
        <f>INDEX('AEO 2026 Table 7 raw'!61:61,MATCH(AD2,'AEO 2026 Table 7 raw'!10:10,0))/INDEX('AEO 2026 Table 7 raw'!61:61,MATCH($E$2,'AEO 2026 Table 7 raw'!10:10,0))</f>
        <v>0.91144795948637547</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SUM('AEO 2026 Table 49 raw'!$D$19,'AEO 2026 Table 49 raw'!$D$33,'AEO 2026 Table 7 raw'!$C$16)</f>
        <v>1</v>
      </c>
      <c r="F12">
        <f>SUM('AEO 2026 Table 49 raw'!E$19,'AEO 2026 Table 49 raw'!E$33,'AEO 2026 Table 7 raw'!D$16)/
SUM('AEO 2026 Table 49 raw'!$D$19,'AEO 2026 Table 49 raw'!$D$33,'AEO 2026 Table 7 raw'!$C$16)</f>
        <v>0.99717440675315006</v>
      </c>
      <c r="G12">
        <f>SUM('AEO 2026 Table 49 raw'!F$19,'AEO 2026 Table 49 raw'!F$33,'AEO 2026 Table 7 raw'!E$16)/
SUM('AEO 2026 Table 49 raw'!$D$19,'AEO 2026 Table 49 raw'!$D$33,'AEO 2026 Table 7 raw'!$C$16)</f>
        <v>0.99980810015275634</v>
      </c>
      <c r="H12">
        <f>SUM('AEO 2026 Table 49 raw'!G$19,'AEO 2026 Table 49 raw'!G$33,'AEO 2026 Table 7 raw'!F$16)/
SUM('AEO 2026 Table 49 raw'!$D$19,'AEO 2026 Table 49 raw'!$D$33,'AEO 2026 Table 7 raw'!$C$16)</f>
        <v>1.0020683381155304</v>
      </c>
      <c r="I12">
        <f>SUM('AEO 2026 Table 49 raw'!H$19,'AEO 2026 Table 49 raw'!H$33,'AEO 2026 Table 7 raw'!G$16)/
SUM('AEO 2026 Table 49 raw'!$D$19,'AEO 2026 Table 49 raw'!$D$33,'AEO 2026 Table 7 raw'!$C$16)</f>
        <v>1.0055012235551142</v>
      </c>
      <c r="J12">
        <f>SUM('AEO 2026 Table 49 raw'!I$19,'AEO 2026 Table 49 raw'!I$33,'AEO 2026 Table 7 raw'!H$16)/
SUM('AEO 2026 Table 49 raw'!$D$19,'AEO 2026 Table 49 raw'!$D$33,'AEO 2026 Table 7 raw'!$C$16)</f>
        <v>1.0137509172823871</v>
      </c>
      <c r="K12">
        <f>SUM('AEO 2026 Table 49 raw'!J$19,'AEO 2026 Table 49 raw'!J$33,'AEO 2026 Table 7 raw'!I$16)/
SUM('AEO 2026 Table 49 raw'!$D$19,'AEO 2026 Table 49 raw'!$D$33,'AEO 2026 Table 7 raw'!$C$16)</f>
        <v>1.0206527199202642</v>
      </c>
      <c r="L12">
        <f>SUM('AEO 2026 Table 49 raw'!K$19,'AEO 2026 Table 49 raw'!K$33,'AEO 2026 Table 7 raw'!J$16)/
SUM('AEO 2026 Table 49 raw'!$D$19,'AEO 2026 Table 49 raw'!$D$33,'AEO 2026 Table 7 raw'!$C$16)</f>
        <v>1.0294005157247725</v>
      </c>
      <c r="M12">
        <f>SUM('AEO 2026 Table 49 raw'!L$19,'AEO 2026 Table 49 raw'!L$33,'AEO 2026 Table 7 raw'!K$16)/
SUM('AEO 2026 Table 49 raw'!$D$19,'AEO 2026 Table 49 raw'!$D$33,'AEO 2026 Table 7 raw'!$C$16)</f>
        <v>1.036868831445916</v>
      </c>
      <c r="N12">
        <f>SUM('AEO 2026 Table 49 raw'!M$19,'AEO 2026 Table 49 raw'!M$33,'AEO 2026 Table 7 raw'!L$16)/
SUM('AEO 2026 Table 49 raw'!$D$19,'AEO 2026 Table 49 raw'!$D$33,'AEO 2026 Table 7 raw'!$C$16)</f>
        <v>1.0463355248361006</v>
      </c>
      <c r="O12">
        <f>SUM('AEO 2026 Table 49 raw'!N$19,'AEO 2026 Table 49 raw'!N$33,'AEO 2026 Table 7 raw'!M$16)/
SUM('AEO 2026 Table 49 raw'!$D$19,'AEO 2026 Table 49 raw'!$D$33,'AEO 2026 Table 7 raw'!$C$16)</f>
        <v>1.0565664402520012</v>
      </c>
      <c r="P12">
        <f>SUM('AEO 2026 Table 49 raw'!O$19,'AEO 2026 Table 49 raw'!O$33,'AEO 2026 Table 7 raw'!N$16)/
SUM('AEO 2026 Table 49 raw'!$D$19,'AEO 2026 Table 49 raw'!$D$33,'AEO 2026 Table 7 raw'!$C$16)</f>
        <v>1.0671911454600669</v>
      </c>
      <c r="Q12">
        <f>SUM('AEO 2026 Table 49 raw'!P$19,'AEO 2026 Table 49 raw'!P$33,'AEO 2026 Table 7 raw'!O$16)/
SUM('AEO 2026 Table 49 raw'!$D$19,'AEO 2026 Table 49 raw'!$D$33,'AEO 2026 Table 7 raw'!$C$16)</f>
        <v>1.0791621864617669</v>
      </c>
      <c r="R12">
        <f>SUM('AEO 2026 Table 49 raw'!Q$19,'AEO 2026 Table 49 raw'!Q$33,'AEO 2026 Table 7 raw'!P$16)/
SUM('AEO 2026 Table 49 raw'!$D$19,'AEO 2026 Table 49 raw'!$D$33,'AEO 2026 Table 7 raw'!$C$16)</f>
        <v>1.0924589587202271</v>
      </c>
      <c r="S12">
        <f>SUM('AEO 2026 Table 49 raw'!R$19,'AEO 2026 Table 49 raw'!R$33,'AEO 2026 Table 7 raw'!Q$16)/
SUM('AEO 2026 Table 49 raw'!$D$19,'AEO 2026 Table 49 raw'!$D$33,'AEO 2026 Table 7 raw'!$C$16)</f>
        <v>1.1061966875043128</v>
      </c>
      <c r="T12">
        <f>SUM('AEO 2026 Table 49 raw'!S$19,'AEO 2026 Table 49 raw'!S$33,'AEO 2026 Table 7 raw'!R$16)/
SUM('AEO 2026 Table 49 raw'!$D$19,'AEO 2026 Table 49 raw'!$D$33,'AEO 2026 Table 7 raw'!$C$16)</f>
        <v>1.1205317162873141</v>
      </c>
      <c r="U12">
        <f>SUM('AEO 2026 Table 49 raw'!T$19,'AEO 2026 Table 49 raw'!T$33,'AEO 2026 Table 7 raw'!S$16)/
SUM('AEO 2026 Table 49 raw'!$D$19,'AEO 2026 Table 49 raw'!$D$33,'AEO 2026 Table 7 raw'!$C$16)</f>
        <v>1.1339171845415872</v>
      </c>
      <c r="V12">
        <f>SUM('AEO 2026 Table 49 raw'!U$19,'AEO 2026 Table 49 raw'!U$33,'AEO 2026 Table 7 raw'!T$16)/
SUM('AEO 2026 Table 49 raw'!$D$19,'AEO 2026 Table 49 raw'!$D$33,'AEO 2026 Table 7 raw'!$C$16)</f>
        <v>1.1467271095371714</v>
      </c>
      <c r="W12">
        <f>SUM('AEO 2026 Table 49 raw'!V$19,'AEO 2026 Table 49 raw'!V$33,'AEO 2026 Table 7 raw'!U$16)/
SUM('AEO 2026 Table 49 raw'!$D$19,'AEO 2026 Table 49 raw'!$D$33,'AEO 2026 Table 7 raw'!$C$16)</f>
        <v>1.1569171797109685</v>
      </c>
      <c r="X12">
        <f>SUM('AEO 2026 Table 49 raw'!W$19,'AEO 2026 Table 49 raw'!W$33,'AEO 2026 Table 7 raw'!V$16)/
SUM('AEO 2026 Table 49 raw'!$D$19,'AEO 2026 Table 49 raw'!$D$33,'AEO 2026 Table 7 raw'!$C$16)</f>
        <v>1.1668712768343033</v>
      </c>
      <c r="Y12">
        <f>SUM('AEO 2026 Table 49 raw'!X$19,'AEO 2026 Table 49 raw'!X$33,'AEO 2026 Table 7 raw'!W$16)/
SUM('AEO 2026 Table 49 raw'!$D$19,'AEO 2026 Table 49 raw'!$D$33,'AEO 2026 Table 7 raw'!$C$16)</f>
        <v>1.1782998511102292</v>
      </c>
      <c r="Z12">
        <f>SUM('AEO 2026 Table 49 raw'!Y$19,'AEO 2026 Table 49 raw'!Y$33,'AEO 2026 Table 7 raw'!X$16)/
SUM('AEO 2026 Table 49 raw'!$D$19,'AEO 2026 Table 49 raw'!$D$33,'AEO 2026 Table 7 raw'!$C$16)</f>
        <v>1.1902743222628023</v>
      </c>
      <c r="AA12">
        <f>SUM('AEO 2026 Table 49 raw'!Z$19,'AEO 2026 Table 49 raw'!Z$33,'AEO 2026 Table 7 raw'!Y$16)/
SUM('AEO 2026 Table 49 raw'!$D$19,'AEO 2026 Table 49 raw'!$D$33,'AEO 2026 Table 7 raw'!$C$16)</f>
        <v>1.2030274135108141</v>
      </c>
      <c r="AB12">
        <f>SUM('AEO 2026 Table 49 raw'!AA$19,'AEO 2026 Table 49 raw'!AA$33,'AEO 2026 Table 7 raw'!Z$16)/
SUM('AEO 2026 Table 49 raw'!$D$19,'AEO 2026 Table 49 raw'!$D$33,'AEO 2026 Table 7 raw'!$C$16)</f>
        <v>1.2144890076400834</v>
      </c>
      <c r="AC12">
        <f>SUM('AEO 2026 Table 49 raw'!AB$19,'AEO 2026 Table 49 raw'!AB$33,'AEO 2026 Table 7 raw'!AA$16)/
SUM('AEO 2026 Table 49 raw'!$D$19,'AEO 2026 Table 49 raw'!$D$33,'AEO 2026 Table 7 raw'!$C$16)</f>
        <v>1.2268305880502479</v>
      </c>
      <c r="AD12">
        <f>SUM('AEO 2026 Table 49 raw'!AC$19,'AEO 2026 Table 49 raw'!AC$33,'AEO 2026 Table 7 raw'!AB$16)/
SUM('AEO 2026 Table 49 raw'!$D$19,'AEO 2026 Table 49 raw'!$D$33,'AEO 2026 Table 7 raw'!$C$16)</f>
        <v>1.2384229047256823</v>
      </c>
    </row>
    <row r="13" spans="1:30">
      <c r="B13" t="s">
        <v>118</v>
      </c>
      <c r="C13">
        <v>1</v>
      </c>
      <c r="D13">
        <f>INDEX('AEO 2025 Table 49'!49:49,MATCH(D11,'AEO 2025 Table 49'!5:5,0))/INDEX('AEO 2025 Table 49'!49:49,MATCH($D$11,'AEO 2025 Table 49'!5:5,0))</f>
        <v>1</v>
      </c>
      <c r="E13">
        <f>'AEO 2026 Table 49 raw'!D$47/'AEO 2026 Table 49 raw'!$D$47</f>
        <v>1</v>
      </c>
      <c r="F13">
        <f>'AEO 2026 Table 49 raw'!E$47/'AEO 2026 Table 49 raw'!$D$47</f>
        <v>1.0118345589310906</v>
      </c>
      <c r="G13">
        <f>'AEO 2026 Table 49 raw'!F$47/'AEO 2026 Table 49 raw'!$D$47</f>
        <v>1.0279382469470737</v>
      </c>
      <c r="H13">
        <f>'AEO 2026 Table 49 raw'!G$47/'AEO 2026 Table 49 raw'!$D$47</f>
        <v>1.0432056747612115</v>
      </c>
      <c r="I13">
        <f>'AEO 2026 Table 49 raw'!H$47/'AEO 2026 Table 49 raw'!$D$47</f>
        <v>1.0558925120220481</v>
      </c>
      <c r="J13">
        <f>'AEO 2026 Table 49 raw'!I$47/'AEO 2026 Table 49 raw'!$D$47</f>
        <v>1.0709939093297061</v>
      </c>
      <c r="K13">
        <f>'AEO 2026 Table 49 raw'!J$47/'AEO 2026 Table 49 raw'!$D$47</f>
        <v>1.0816952318621904</v>
      </c>
      <c r="L13">
        <f>'AEO 2026 Table 49 raw'!K$47/'AEO 2026 Table 49 raw'!$D$47</f>
        <v>1.0933613446455177</v>
      </c>
      <c r="M13">
        <f>'AEO 2026 Table 49 raw'!L$47/'AEO 2026 Table 49 raw'!$D$47</f>
        <v>1.1028465394728153</v>
      </c>
      <c r="N13">
        <f>'AEO 2026 Table 49 raw'!M$47/'AEO 2026 Table 49 raw'!$D$47</f>
        <v>1.1136451627703663</v>
      </c>
      <c r="O13">
        <f>'AEO 2026 Table 49 raw'!N$47/'AEO 2026 Table 49 raw'!$D$47</f>
        <v>1.1243448713591111</v>
      </c>
      <c r="P13">
        <f>'AEO 2026 Table 49 raw'!O$47/'AEO 2026 Table 49 raw'!$D$47</f>
        <v>1.1342618383313927</v>
      </c>
      <c r="Q13">
        <f>'AEO 2026 Table 49 raw'!P$47/'AEO 2026 Table 49 raw'!$D$47</f>
        <v>1.1434960121639037</v>
      </c>
      <c r="R13">
        <f>'AEO 2026 Table 49 raw'!Q$47/'AEO 2026 Table 49 raw'!$D$47</f>
        <v>1.1517187970758314</v>
      </c>
      <c r="S13">
        <f>'AEO 2026 Table 49 raw'!R$47/'AEO 2026 Table 49 raw'!$D$47</f>
        <v>1.1593785476929368</v>
      </c>
      <c r="T13">
        <f>'AEO 2026 Table 49 raw'!S$47/'AEO 2026 Table 49 raw'!$D$47</f>
        <v>1.1672452101169357</v>
      </c>
      <c r="U13">
        <f>'AEO 2026 Table 49 raw'!T$47/'AEO 2026 Table 49 raw'!$D$47</f>
        <v>1.174878478343462</v>
      </c>
      <c r="V13">
        <f>'AEO 2026 Table 49 raw'!U$47/'AEO 2026 Table 49 raw'!$D$47</f>
        <v>1.1819847675673385</v>
      </c>
      <c r="W13">
        <f>'AEO 2026 Table 49 raw'!V$47/'AEO 2026 Table 49 raw'!$D$47</f>
        <v>1.188051096846978</v>
      </c>
      <c r="X13">
        <f>'AEO 2026 Table 49 raw'!W$47/'AEO 2026 Table 49 raw'!$D$47</f>
        <v>1.1944659799568125</v>
      </c>
      <c r="Y13">
        <f>'AEO 2026 Table 49 raw'!X$47/'AEO 2026 Table 49 raw'!$D$47</f>
        <v>1.2028692839485959</v>
      </c>
      <c r="Z13">
        <f>'AEO 2026 Table 49 raw'!Y$47/'AEO 2026 Table 49 raw'!$D$47</f>
        <v>1.2115239201203969</v>
      </c>
      <c r="AA13">
        <f>'AEO 2026 Table 49 raw'!Z$47/'AEO 2026 Table 49 raw'!$D$47</f>
        <v>1.2201089457383518</v>
      </c>
      <c r="AB13">
        <f>'AEO 2026 Table 49 raw'!AA$47/'AEO 2026 Table 49 raw'!$D$47</f>
        <v>1.226474176343723</v>
      </c>
      <c r="AC13">
        <f>'AEO 2026 Table 49 raw'!AB$47/'AEO 2026 Table 49 raw'!$D$47</f>
        <v>1.2327767901514537</v>
      </c>
      <c r="AD13">
        <f>'AEO 2026 Table 49 raw'!AC$47/'AEO 2026 Table 49 raw'!$D$47</f>
        <v>1.2384968968529664</v>
      </c>
    </row>
    <row r="14" spans="1:30">
      <c r="B14" t="s">
        <v>116</v>
      </c>
      <c r="C14">
        <f>C5</f>
        <v>1</v>
      </c>
      <c r="D14">
        <f t="shared" ref="D14" si="0">D5</f>
        <v>1</v>
      </c>
      <c r="E14">
        <f>'AEO 2026 Table 47'!E68/'AEO 2026 Table 47'!$E$68</f>
        <v>1</v>
      </c>
      <c r="F14">
        <f>'AEO 2026 Table 47'!F68/'AEO 2026 Table 47'!$E$68</f>
        <v>1.0279218016294767</v>
      </c>
      <c r="G14">
        <f>'AEO 2026 Table 47'!G68/'AEO 2026 Table 47'!$E$68</f>
        <v>1.0481178519788865</v>
      </c>
      <c r="H14">
        <f>'AEO 2026 Table 47'!H68/'AEO 2026 Table 47'!$E$68</f>
        <v>1.0618686335044238</v>
      </c>
      <c r="I14">
        <f>'AEO 2026 Table 47'!I68/'AEO 2026 Table 47'!$E$68</f>
        <v>1.0793618569090695</v>
      </c>
      <c r="J14">
        <f>'AEO 2026 Table 47'!J68/'AEO 2026 Table 47'!$E$68</f>
        <v>1.0998907712006247</v>
      </c>
      <c r="K14">
        <f>'AEO 2026 Table 47'!K68/'AEO 2026 Table 47'!$E$68</f>
        <v>1.1201259539281085</v>
      </c>
      <c r="L14">
        <f>'AEO 2026 Table 47'!L68/'AEO 2026 Table 47'!$E$68</f>
        <v>1.1435838188132317</v>
      </c>
      <c r="M14">
        <f>'AEO 2026 Table 47'!M68/'AEO 2026 Table 47'!$E$68</f>
        <v>1.1686173109914255</v>
      </c>
      <c r="N14">
        <f>'AEO 2026 Table 47'!N68/'AEO 2026 Table 47'!$E$68</f>
        <v>1.1955486566622358</v>
      </c>
      <c r="O14">
        <f>'AEO 2026 Table 47'!O68/'AEO 2026 Table 47'!$E$68</f>
        <v>1.2245081061030982</v>
      </c>
      <c r="P14">
        <f>'AEO 2026 Table 47'!P68/'AEO 2026 Table 47'!$E$68</f>
        <v>1.2489892950887451</v>
      </c>
      <c r="Q14">
        <f>'AEO 2026 Table 47'!Q68/'AEO 2026 Table 47'!$E$68</f>
        <v>1.2737559269844445</v>
      </c>
      <c r="R14">
        <f>'AEO 2026 Table 47'!R68/'AEO 2026 Table 47'!$E$68</f>
        <v>1.2985784977456294</v>
      </c>
      <c r="S14">
        <f>'AEO 2026 Table 47'!S68/'AEO 2026 Table 47'!$E$68</f>
        <v>1.3229276794119746</v>
      </c>
      <c r="T14">
        <f>'AEO 2026 Table 47'!T68/'AEO 2026 Table 47'!$E$68</f>
        <v>1.3478206273391931</v>
      </c>
      <c r="U14">
        <f>'AEO 2026 Table 47'!U68/'AEO 2026 Table 47'!$E$68</f>
        <v>1.3719509427035714</v>
      </c>
      <c r="V14">
        <f>'AEO 2026 Table 47'!V68/'AEO 2026 Table 47'!$E$68</f>
        <v>1.3970490634651733</v>
      </c>
      <c r="W14">
        <f>'AEO 2026 Table 47'!W68/'AEO 2026 Table 47'!$E$68</f>
        <v>1.4232973973072531</v>
      </c>
      <c r="X14">
        <f>'AEO 2026 Table 47'!X68/'AEO 2026 Table 47'!$E$68</f>
        <v>1.4497092124359678</v>
      </c>
      <c r="Y14">
        <f>'AEO 2026 Table 47'!Y68/'AEO 2026 Table 47'!$E$68</f>
        <v>1.4764340101961522</v>
      </c>
      <c r="Z14">
        <f>'AEO 2026 Table 47'!Z68/'AEO 2026 Table 47'!$E$68</f>
        <v>1.5026578600417988</v>
      </c>
      <c r="AA14">
        <f>'AEO 2026 Table 47'!AA68/'AEO 2026 Table 47'!$E$68</f>
        <v>1.5276866158462679</v>
      </c>
      <c r="AB14">
        <f>'AEO 2026 Table 47'!AB68/'AEO 2026 Table 47'!$E$68</f>
        <v>1.5530653667510728</v>
      </c>
      <c r="AC14">
        <f>'AEO 2026 Table 47'!AC68/'AEO 2026 Table 47'!$E$68</f>
        <v>1.5778981550926723</v>
      </c>
      <c r="AD14">
        <f>'AEO 2026 Table 47'!AD68/'AEO 2026 Table 47'!$E$68</f>
        <v>1.6033284713565792</v>
      </c>
    </row>
    <row r="15" spans="1:30">
      <c r="B15" t="s">
        <v>121</v>
      </c>
      <c r="C15">
        <v>1</v>
      </c>
      <c r="D15">
        <f>INDEX('AEO 2025 Table 7'!18:18,MATCH(D11,'AEO 2025 Table 7'!5:5,0))/INDEX('AEO 2025 Table 7'!18:18,MATCH($D$11,'AEO 2025 Table 7'!5:5,0))</f>
        <v>1</v>
      </c>
      <c r="E15">
        <f>INDEX('AEO 2026 Table 7 raw'!24:24,MATCH(E11,'AEO 2026 Table 7 raw'!10:10,0))/INDEX('AEO 2026 Table 7 raw'!24:24,MATCH($E$11,'AEO 2026 Table 7 raw'!10:10,0))</f>
        <v>1</v>
      </c>
      <c r="F15">
        <f>INDEX('AEO 2026 Table 7 raw'!24:24,MATCH(F11,'AEO 2026 Table 7 raw'!10:10,0))/INDEX('AEO 2026 Table 7 raw'!24:24,MATCH($E$11,'AEO 2026 Table 7 raw'!10:10,0))</f>
        <v>0.97830978545667635</v>
      </c>
      <c r="G15">
        <f>INDEX('AEO 2026 Table 7 raw'!24:24,MATCH(G11,'AEO 2026 Table 7 raw'!10:10,0))/INDEX('AEO 2026 Table 7 raw'!24:24,MATCH($E$11,'AEO 2026 Table 7 raw'!10:10,0))</f>
        <v>1.0109039236457087</v>
      </c>
      <c r="H15">
        <f>INDEX('AEO 2026 Table 7 raw'!24:24,MATCH(H11,'AEO 2026 Table 7 raw'!10:10,0))/INDEX('AEO 2026 Table 7 raw'!24:24,MATCH($E$11,'AEO 2026 Table 7 raw'!10:10,0))</f>
        <v>0.99119527359943416</v>
      </c>
      <c r="I15">
        <f>INDEX('AEO 2026 Table 7 raw'!24:24,MATCH(I11,'AEO 2026 Table 7 raw'!10:10,0))/INDEX('AEO 2026 Table 7 raw'!24:24,MATCH($E$11,'AEO 2026 Table 7 raw'!10:10,0))</f>
        <v>0.98437935774986285</v>
      </c>
      <c r="J15">
        <f>INDEX('AEO 2026 Table 7 raw'!24:24,MATCH(J11,'AEO 2026 Table 7 raw'!10:10,0))/INDEX('AEO 2026 Table 7 raw'!24:24,MATCH($E$11,'AEO 2026 Table 7 raw'!10:10,0))</f>
        <v>0.99194246509830231</v>
      </c>
      <c r="K15">
        <f>INDEX('AEO 2026 Table 7 raw'!24:24,MATCH(K11,'AEO 2026 Table 7 raw'!10:10,0))/INDEX('AEO 2026 Table 7 raw'!24:24,MATCH($E$11,'AEO 2026 Table 7 raw'!10:10,0))</f>
        <v>0.9675376012385507</v>
      </c>
      <c r="L15">
        <f>INDEX('AEO 2026 Table 7 raw'!24:24,MATCH(L11,'AEO 2026 Table 7 raw'!10:10,0))/INDEX('AEO 2026 Table 7 raw'!24:24,MATCH($E$11,'AEO 2026 Table 7 raw'!10:10,0))</f>
        <v>0.97263496893215862</v>
      </c>
      <c r="M15">
        <f>INDEX('AEO 2026 Table 7 raw'!24:24,MATCH(M11,'AEO 2026 Table 7 raw'!10:10,0))/INDEX('AEO 2026 Table 7 raw'!24:24,MATCH($E$11,'AEO 2026 Table 7 raw'!10:10,0))</f>
        <v>0.97789036227032156</v>
      </c>
      <c r="N15">
        <f>INDEX('AEO 2026 Table 7 raw'!24:24,MATCH(N11,'AEO 2026 Table 7 raw'!10:10,0))/INDEX('AEO 2026 Table 7 raw'!24:24,MATCH($E$11,'AEO 2026 Table 7 raw'!10:10,0))</f>
        <v>0.97614984469547994</v>
      </c>
      <c r="O15">
        <f>INDEX('AEO 2026 Table 7 raw'!24:24,MATCH(O11,'AEO 2026 Table 7 raw'!10:10,0))/INDEX('AEO 2026 Table 7 raw'!24:24,MATCH($E$11,'AEO 2026 Table 7 raw'!10:10,0))</f>
        <v>0.9803742170600166</v>
      </c>
      <c r="P15">
        <f>INDEX('AEO 2026 Table 7 raw'!24:24,MATCH(P11,'AEO 2026 Table 7 raw'!10:10,0))/INDEX('AEO 2026 Table 7 raw'!24:24,MATCH($E$11,'AEO 2026 Table 7 raw'!10:10,0))</f>
        <v>0.98373314849215043</v>
      </c>
      <c r="Q15">
        <f>INDEX('AEO 2026 Table 7 raw'!24:24,MATCH(Q11,'AEO 2026 Table 7 raw'!10:10,0))/INDEX('AEO 2026 Table 7 raw'!24:24,MATCH($E$11,'AEO 2026 Table 7 raw'!10:10,0))</f>
        <v>0.98849473096249618</v>
      </c>
      <c r="R15">
        <f>INDEX('AEO 2026 Table 7 raw'!24:24,MATCH(R11,'AEO 2026 Table 7 raw'!10:10,0))/INDEX('AEO 2026 Table 7 raw'!24:24,MATCH($E$11,'AEO 2026 Table 7 raw'!10:10,0))</f>
        <v>0.98993183929979067</v>
      </c>
      <c r="S15">
        <f>INDEX('AEO 2026 Table 7 raw'!24:24,MATCH(S11,'AEO 2026 Table 7 raw'!10:10,0))/INDEX('AEO 2026 Table 7 raw'!24:24,MATCH($E$11,'AEO 2026 Table 7 raw'!10:10,0))</f>
        <v>0.99296315659077172</v>
      </c>
      <c r="T15">
        <f>INDEX('AEO 2026 Table 7 raw'!24:24,MATCH(T11,'AEO 2026 Table 7 raw'!10:10,0))/INDEX('AEO 2026 Table 7 raw'!24:24,MATCH($E$11,'AEO 2026 Table 7 raw'!10:10,0))</f>
        <v>0.994984111870439</v>
      </c>
      <c r="U15">
        <f>INDEX('AEO 2026 Table 7 raw'!24:24,MATCH(U11,'AEO 2026 Table 7 raw'!10:10,0))/INDEX('AEO 2026 Table 7 raw'!24:24,MATCH($E$11,'AEO 2026 Table 7 raw'!10:10,0))</f>
        <v>0.9951249474082946</v>
      </c>
      <c r="V15">
        <f>INDEX('AEO 2026 Table 7 raw'!24:24,MATCH(V11,'AEO 2026 Table 7 raw'!10:10,0))/INDEX('AEO 2026 Table 7 raw'!24:24,MATCH($E$11,'AEO 2026 Table 7 raw'!10:10,0))</f>
        <v>0.99309019379185848</v>
      </c>
      <c r="W15">
        <f>INDEX('AEO 2026 Table 7 raw'!24:24,MATCH(W11,'AEO 2026 Table 7 raw'!10:10,0))/INDEX('AEO 2026 Table 7 raw'!24:24,MATCH($E$11,'AEO 2026 Table 7 raw'!10:10,0))</f>
        <v>0.99169895143432552</v>
      </c>
      <c r="X15">
        <f>INDEX('AEO 2026 Table 7 raw'!24:24,MATCH(X11,'AEO 2026 Table 7 raw'!10:10,0))/INDEX('AEO 2026 Table 7 raw'!24:24,MATCH($E$11,'AEO 2026 Table 7 raw'!10:10,0))</f>
        <v>0.99283789236033149</v>
      </c>
      <c r="Y15">
        <f>INDEX('AEO 2026 Table 7 raw'!24:24,MATCH(Y11,'AEO 2026 Table 7 raw'!10:10,0))/INDEX('AEO 2026 Table 7 raw'!24:24,MATCH($E$11,'AEO 2026 Table 7 raw'!10:10,0))</f>
        <v>0.99336292292865769</v>
      </c>
      <c r="Z15">
        <f>INDEX('AEO 2026 Table 7 raw'!24:24,MATCH(Z11,'AEO 2026 Table 7 raw'!10:10,0))/INDEX('AEO 2026 Table 7 raw'!24:24,MATCH($E$11,'AEO 2026 Table 7 raw'!10:10,0))</f>
        <v>0.99647764692569207</v>
      </c>
      <c r="AA15">
        <f>INDEX('AEO 2026 Table 7 raw'!24:24,MATCH(AA11,'AEO 2026 Table 7 raw'!10:10,0))/INDEX('AEO 2026 Table 7 raw'!24:24,MATCH($E$11,'AEO 2026 Table 7 raw'!10:10,0))</f>
        <v>1.0033896115328811</v>
      </c>
      <c r="AB15">
        <f>INDEX('AEO 2026 Table 7 raw'!24:24,MATCH(AB11,'AEO 2026 Table 7 raw'!10:10,0))/INDEX('AEO 2026 Table 7 raw'!24:24,MATCH($E$11,'AEO 2026 Table 7 raw'!10:10,0))</f>
        <v>1.0076129817835746</v>
      </c>
      <c r="AC15">
        <f>INDEX('AEO 2026 Table 7 raw'!24:24,MATCH(AC11,'AEO 2026 Table 7 raw'!10:10,0))/INDEX('AEO 2026 Table 7 raw'!24:24,MATCH($E$11,'AEO 2026 Table 7 raw'!10:10,0))</f>
        <v>1.0057834302480202</v>
      </c>
      <c r="AD15">
        <f>INDEX('AEO 2026 Table 7 raw'!24:24,MATCH(AD11,'AEO 2026 Table 7 raw'!10:10,0))/INDEX('AEO 2026 Table 7 raw'!24:24,MATCH($E$11,'AEO 2026 Table 7 raw'!10:10,0))</f>
        <v>1.0046351619547016</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raw'!10:10,0))))/(INDEX('AEO 2026 Table 7 raw'!49:49,MATCH($E$11,'AEO 2026 Table 7 raw'!10:10,0))*SUM(INDEX('AEO 2026 Table 7 raw'!59:59,MATCH($E$11,'AEO 2026 Table 7 raw'!10:10,0)),INDEX('AEO 2026 Table 7 raw'!60:60,MATCH($E$11,'AEO 2026 Table 7 raw'!10:10,0))))</f>
        <v>1</v>
      </c>
      <c r="F16" s="42">
        <f>(INDEX('AEO 2026 Table 7 raw'!49:49,MATCH(F11,'AEO 2026 Table 7 raw'!10:10,0))*SUM(INDEX('AEO 2026 Table 7 raw'!59:59,MATCH(F11,'AEO 2026 Table 7 raw'!10:10,0)),INDEX('AEO 2026 Table 7 raw'!60:60,MATCH(F11,'AEO 2026 Table 7 raw'!10:10,0))))/(INDEX('AEO 2026 Table 7 raw'!49:49,MATCH($E$11,'AEO 2026 Table 7 raw'!10:10,0))*SUM(INDEX('AEO 2026 Table 7 raw'!59:59,MATCH($E$11,'AEO 2026 Table 7 raw'!10:10,0)),INDEX('AEO 2026 Table 7 raw'!60:60,MATCH($E$11,'AEO 2026 Table 7 raw'!10:10,0))))</f>
        <v>0.99319693740094372</v>
      </c>
      <c r="G16" s="42">
        <f>(INDEX('AEO 2026 Table 7 raw'!49:49,MATCH(G11,'AEO 2026 Table 7 raw'!10:10,0))*SUM(INDEX('AEO 2026 Table 7 raw'!59:59,MATCH(G11,'AEO 2026 Table 7 raw'!10:10,0)),INDEX('AEO 2026 Table 7 raw'!60:60,MATCH(G11,'AEO 2026 Table 7 raw'!10:10,0))))/(INDEX('AEO 2026 Table 7 raw'!49:49,MATCH($E$11,'AEO 2026 Table 7 raw'!10:10,0))*SUM(INDEX('AEO 2026 Table 7 raw'!59:59,MATCH($E$11,'AEO 2026 Table 7 raw'!10:10,0)),INDEX('AEO 2026 Table 7 raw'!60:60,MATCH($E$11,'AEO 2026 Table 7 raw'!10:10,0))))</f>
        <v>1.0134258591050325</v>
      </c>
      <c r="H16" s="42">
        <f>(INDEX('AEO 2026 Table 7 raw'!49:49,MATCH(H11,'AEO 2026 Table 7 raw'!10:10,0))*SUM(INDEX('AEO 2026 Table 7 raw'!59:59,MATCH(H11,'AEO 2026 Table 7 raw'!10:10,0)),INDEX('AEO 2026 Table 7 raw'!60:60,MATCH(H11,'AEO 2026 Table 7 raw'!10:10,0))))/(INDEX('AEO 2026 Table 7 raw'!49:49,MATCH($E$11,'AEO 2026 Table 7 raw'!10:10,0))*SUM(INDEX('AEO 2026 Table 7 raw'!59:59,MATCH($E$11,'AEO 2026 Table 7 raw'!10:10,0)),INDEX('AEO 2026 Table 7 raw'!60:60,MATCH($E$11,'AEO 2026 Table 7 raw'!10:10,0))))</f>
        <v>1.0357190120736635</v>
      </c>
      <c r="I16" s="42">
        <f>(INDEX('AEO 2026 Table 7 raw'!49:49,MATCH(I11,'AEO 2026 Table 7 raw'!10:10,0))*SUM(INDEX('AEO 2026 Table 7 raw'!59:59,MATCH(I11,'AEO 2026 Table 7 raw'!10:10,0)),INDEX('AEO 2026 Table 7 raw'!60:60,MATCH(I11,'AEO 2026 Table 7 raw'!10:10,0))))/(INDEX('AEO 2026 Table 7 raw'!49:49,MATCH($E$11,'AEO 2026 Table 7 raw'!10:10,0))*SUM(INDEX('AEO 2026 Table 7 raw'!59:59,MATCH($E$11,'AEO 2026 Table 7 raw'!10:10,0)),INDEX('AEO 2026 Table 7 raw'!60:60,MATCH($E$11,'AEO 2026 Table 7 raw'!10:10,0))))</f>
        <v>1.0546663961168747</v>
      </c>
      <c r="J16" s="42">
        <f>(INDEX('AEO 2026 Table 7 raw'!49:49,MATCH(J11,'AEO 2026 Table 7 raw'!10:10,0))*SUM(INDEX('AEO 2026 Table 7 raw'!59:59,MATCH(J11,'AEO 2026 Table 7 raw'!10:10,0)),INDEX('AEO 2026 Table 7 raw'!60:60,MATCH(J11,'AEO 2026 Table 7 raw'!10:10,0))))/(INDEX('AEO 2026 Table 7 raw'!49:49,MATCH($E$11,'AEO 2026 Table 7 raw'!10:10,0))*SUM(INDEX('AEO 2026 Table 7 raw'!59:59,MATCH($E$11,'AEO 2026 Table 7 raw'!10:10,0)),INDEX('AEO 2026 Table 7 raw'!60:60,MATCH($E$11,'AEO 2026 Table 7 raw'!10:10,0))))</f>
        <v>1.0745722380166023</v>
      </c>
      <c r="K16" s="42">
        <f>(INDEX('AEO 2026 Table 7 raw'!49:49,MATCH(K11,'AEO 2026 Table 7 raw'!10:10,0))*SUM(INDEX('AEO 2026 Table 7 raw'!59:59,MATCH(K11,'AEO 2026 Table 7 raw'!10:10,0)),INDEX('AEO 2026 Table 7 raw'!60:60,MATCH(K11,'AEO 2026 Table 7 raw'!10:10,0))))/(INDEX('AEO 2026 Table 7 raw'!49:49,MATCH($E$11,'AEO 2026 Table 7 raw'!10:10,0))*SUM(INDEX('AEO 2026 Table 7 raw'!59:59,MATCH($E$11,'AEO 2026 Table 7 raw'!10:10,0)),INDEX('AEO 2026 Table 7 raw'!60:60,MATCH($E$11,'AEO 2026 Table 7 raw'!10:10,0))))</f>
        <v>1.0931099384970953</v>
      </c>
      <c r="L16" s="42">
        <f>(INDEX('AEO 2026 Table 7 raw'!49:49,MATCH(L11,'AEO 2026 Table 7 raw'!10:10,0))*SUM(INDEX('AEO 2026 Table 7 raw'!59:59,MATCH(L11,'AEO 2026 Table 7 raw'!10:10,0)),INDEX('AEO 2026 Table 7 raw'!60:60,MATCH(L11,'AEO 2026 Table 7 raw'!10:10,0))))/(INDEX('AEO 2026 Table 7 raw'!49:49,MATCH($E$11,'AEO 2026 Table 7 raw'!10:10,0))*SUM(INDEX('AEO 2026 Table 7 raw'!59:59,MATCH($E$11,'AEO 2026 Table 7 raw'!10:10,0)),INDEX('AEO 2026 Table 7 raw'!60:60,MATCH($E$11,'AEO 2026 Table 7 raw'!10:10,0))))</f>
        <v>1.1137564446020281</v>
      </c>
      <c r="M16" s="42">
        <f>(INDEX('AEO 2026 Table 7 raw'!49:49,MATCH(M11,'AEO 2026 Table 7 raw'!10:10,0))*SUM(INDEX('AEO 2026 Table 7 raw'!59:59,MATCH(M11,'AEO 2026 Table 7 raw'!10:10,0)),INDEX('AEO 2026 Table 7 raw'!60:60,MATCH(M11,'AEO 2026 Table 7 raw'!10:10,0))))/(INDEX('AEO 2026 Table 7 raw'!49:49,MATCH($E$11,'AEO 2026 Table 7 raw'!10:10,0))*SUM(INDEX('AEO 2026 Table 7 raw'!59:59,MATCH($E$11,'AEO 2026 Table 7 raw'!10:10,0)),INDEX('AEO 2026 Table 7 raw'!60:60,MATCH($E$11,'AEO 2026 Table 7 raw'!10:10,0))))</f>
        <v>1.1347453982779299</v>
      </c>
      <c r="N16" s="42">
        <f>(INDEX('AEO 2026 Table 7 raw'!49:49,MATCH(N11,'AEO 2026 Table 7 raw'!10:10,0))*SUM(INDEX('AEO 2026 Table 7 raw'!59:59,MATCH(N11,'AEO 2026 Table 7 raw'!10:10,0)),INDEX('AEO 2026 Table 7 raw'!60:60,MATCH(N11,'AEO 2026 Table 7 raw'!10:10,0))))/(INDEX('AEO 2026 Table 7 raw'!49:49,MATCH($E$11,'AEO 2026 Table 7 raw'!10:10,0))*SUM(INDEX('AEO 2026 Table 7 raw'!59:59,MATCH($E$11,'AEO 2026 Table 7 raw'!10:10,0)),INDEX('AEO 2026 Table 7 raw'!60:60,MATCH($E$11,'AEO 2026 Table 7 raw'!10:10,0))))</f>
        <v>1.1565095869382649</v>
      </c>
      <c r="O16" s="42">
        <f>(INDEX('AEO 2026 Table 7 raw'!49:49,MATCH(O11,'AEO 2026 Table 7 raw'!10:10,0))*SUM(INDEX('AEO 2026 Table 7 raw'!59:59,MATCH(O11,'AEO 2026 Table 7 raw'!10:10,0)),INDEX('AEO 2026 Table 7 raw'!60:60,MATCH(O11,'AEO 2026 Table 7 raw'!10:10,0))))/(INDEX('AEO 2026 Table 7 raw'!49:49,MATCH($E$11,'AEO 2026 Table 7 raw'!10:10,0))*SUM(INDEX('AEO 2026 Table 7 raw'!59:59,MATCH($E$11,'AEO 2026 Table 7 raw'!10:10,0)),INDEX('AEO 2026 Table 7 raw'!60:60,MATCH($E$11,'AEO 2026 Table 7 raw'!10:10,0))))</f>
        <v>1.1793453842668205</v>
      </c>
      <c r="P16" s="42">
        <f>(INDEX('AEO 2026 Table 7 raw'!49:49,MATCH(P11,'AEO 2026 Table 7 raw'!10:10,0))*SUM(INDEX('AEO 2026 Table 7 raw'!59:59,MATCH(P11,'AEO 2026 Table 7 raw'!10:10,0)),INDEX('AEO 2026 Table 7 raw'!60:60,MATCH(P11,'AEO 2026 Table 7 raw'!10:10,0))))/(INDEX('AEO 2026 Table 7 raw'!49:49,MATCH($E$11,'AEO 2026 Table 7 raw'!10:10,0))*SUM(INDEX('AEO 2026 Table 7 raw'!59:59,MATCH($E$11,'AEO 2026 Table 7 raw'!10:10,0)),INDEX('AEO 2026 Table 7 raw'!60:60,MATCH($E$11,'AEO 2026 Table 7 raw'!10:10,0))))</f>
        <v>1.1981501246446953</v>
      </c>
      <c r="Q16" s="42">
        <f>(INDEX('AEO 2026 Table 7 raw'!49:49,MATCH(Q11,'AEO 2026 Table 7 raw'!10:10,0))*SUM(INDEX('AEO 2026 Table 7 raw'!59:59,MATCH(Q11,'AEO 2026 Table 7 raw'!10:10,0)),INDEX('AEO 2026 Table 7 raw'!60:60,MATCH(Q11,'AEO 2026 Table 7 raw'!10:10,0))))/(INDEX('AEO 2026 Table 7 raw'!49:49,MATCH($E$11,'AEO 2026 Table 7 raw'!10:10,0))*SUM(INDEX('AEO 2026 Table 7 raw'!59:59,MATCH($E$11,'AEO 2026 Table 7 raw'!10:10,0)),INDEX('AEO 2026 Table 7 raw'!60:60,MATCH($E$11,'AEO 2026 Table 7 raw'!10:10,0))))</f>
        <v>1.2135853367929397</v>
      </c>
      <c r="R16" s="42">
        <f>(INDEX('AEO 2026 Table 7 raw'!49:49,MATCH(R11,'AEO 2026 Table 7 raw'!10:10,0))*SUM(INDEX('AEO 2026 Table 7 raw'!59:59,MATCH(R11,'AEO 2026 Table 7 raw'!10:10,0)),INDEX('AEO 2026 Table 7 raw'!60:60,MATCH(R11,'AEO 2026 Table 7 raw'!10:10,0))))/(INDEX('AEO 2026 Table 7 raw'!49:49,MATCH($E$11,'AEO 2026 Table 7 raw'!10:10,0))*SUM(INDEX('AEO 2026 Table 7 raw'!59:59,MATCH($E$11,'AEO 2026 Table 7 raw'!10:10,0)),INDEX('AEO 2026 Table 7 raw'!60:60,MATCH($E$11,'AEO 2026 Table 7 raw'!10:10,0))))</f>
        <v>1.229039792743259</v>
      </c>
      <c r="S16" s="42">
        <f>(INDEX('AEO 2026 Table 7 raw'!49:49,MATCH(S11,'AEO 2026 Table 7 raw'!10:10,0))*SUM(INDEX('AEO 2026 Table 7 raw'!59:59,MATCH(S11,'AEO 2026 Table 7 raw'!10:10,0)),INDEX('AEO 2026 Table 7 raw'!60:60,MATCH(S11,'AEO 2026 Table 7 raw'!10:10,0))))/(INDEX('AEO 2026 Table 7 raw'!49:49,MATCH($E$11,'AEO 2026 Table 7 raw'!10:10,0))*SUM(INDEX('AEO 2026 Table 7 raw'!59:59,MATCH($E$11,'AEO 2026 Table 7 raw'!10:10,0)),INDEX('AEO 2026 Table 7 raw'!60:60,MATCH($E$11,'AEO 2026 Table 7 raw'!10:10,0))))</f>
        <v>1.2433137272282648</v>
      </c>
      <c r="T16" s="42">
        <f>(INDEX('AEO 2026 Table 7 raw'!49:49,MATCH(T11,'AEO 2026 Table 7 raw'!10:10,0))*SUM(INDEX('AEO 2026 Table 7 raw'!59:59,MATCH(T11,'AEO 2026 Table 7 raw'!10:10,0)),INDEX('AEO 2026 Table 7 raw'!60:60,MATCH(T11,'AEO 2026 Table 7 raw'!10:10,0))))/(INDEX('AEO 2026 Table 7 raw'!49:49,MATCH($E$11,'AEO 2026 Table 7 raw'!10:10,0))*SUM(INDEX('AEO 2026 Table 7 raw'!59:59,MATCH($E$11,'AEO 2026 Table 7 raw'!10:10,0)),INDEX('AEO 2026 Table 7 raw'!60:60,MATCH($E$11,'AEO 2026 Table 7 raw'!10:10,0))))</f>
        <v>1.257696150719166</v>
      </c>
      <c r="U16" s="42">
        <f>(INDEX('AEO 2026 Table 7 raw'!49:49,MATCH(U11,'AEO 2026 Table 7 raw'!10:10,0))*SUM(INDEX('AEO 2026 Table 7 raw'!59:59,MATCH(U11,'AEO 2026 Table 7 raw'!10:10,0)),INDEX('AEO 2026 Table 7 raw'!60:60,MATCH(U11,'AEO 2026 Table 7 raw'!10:10,0))))/(INDEX('AEO 2026 Table 7 raw'!49:49,MATCH($E$11,'AEO 2026 Table 7 raw'!10:10,0))*SUM(INDEX('AEO 2026 Table 7 raw'!59:59,MATCH($E$11,'AEO 2026 Table 7 raw'!10:10,0)),INDEX('AEO 2026 Table 7 raw'!60:60,MATCH($E$11,'AEO 2026 Table 7 raw'!10:10,0))))</f>
        <v>1.2717168800396377</v>
      </c>
      <c r="V16" s="42">
        <f>(INDEX('AEO 2026 Table 7 raw'!49:49,MATCH(V11,'AEO 2026 Table 7 raw'!10:10,0))*SUM(INDEX('AEO 2026 Table 7 raw'!59:59,MATCH(V11,'AEO 2026 Table 7 raw'!10:10,0)),INDEX('AEO 2026 Table 7 raw'!60:60,MATCH(V11,'AEO 2026 Table 7 raw'!10:10,0))))/(INDEX('AEO 2026 Table 7 raw'!49:49,MATCH($E$11,'AEO 2026 Table 7 raw'!10:10,0))*SUM(INDEX('AEO 2026 Table 7 raw'!59:59,MATCH($E$11,'AEO 2026 Table 7 raw'!10:10,0)),INDEX('AEO 2026 Table 7 raw'!60:60,MATCH($E$11,'AEO 2026 Table 7 raw'!10:10,0))))</f>
        <v>1.2868615449786298</v>
      </c>
      <c r="W16" s="42">
        <f>(INDEX('AEO 2026 Table 7 raw'!49:49,MATCH(W11,'AEO 2026 Table 7 raw'!10:10,0))*SUM(INDEX('AEO 2026 Table 7 raw'!59:59,MATCH(W11,'AEO 2026 Table 7 raw'!10:10,0)),INDEX('AEO 2026 Table 7 raw'!60:60,MATCH(W11,'AEO 2026 Table 7 raw'!10:10,0))))/(INDEX('AEO 2026 Table 7 raw'!49:49,MATCH($E$11,'AEO 2026 Table 7 raw'!10:10,0))*SUM(INDEX('AEO 2026 Table 7 raw'!59:59,MATCH($E$11,'AEO 2026 Table 7 raw'!10:10,0)),INDEX('AEO 2026 Table 7 raw'!60:60,MATCH($E$11,'AEO 2026 Table 7 raw'!10:10,0))))</f>
        <v>1.3016046084626953</v>
      </c>
      <c r="X16" s="42">
        <f>(INDEX('AEO 2026 Table 7 raw'!49:49,MATCH(X11,'AEO 2026 Table 7 raw'!10:10,0))*SUM(INDEX('AEO 2026 Table 7 raw'!59:59,MATCH(X11,'AEO 2026 Table 7 raw'!10:10,0)),INDEX('AEO 2026 Table 7 raw'!60:60,MATCH(X11,'AEO 2026 Table 7 raw'!10:10,0))))/(INDEX('AEO 2026 Table 7 raw'!49:49,MATCH($E$11,'AEO 2026 Table 7 raw'!10:10,0))*SUM(INDEX('AEO 2026 Table 7 raw'!59:59,MATCH($E$11,'AEO 2026 Table 7 raw'!10:10,0)),INDEX('AEO 2026 Table 7 raw'!60:60,MATCH($E$11,'AEO 2026 Table 7 raw'!10:10,0))))</f>
        <v>1.3162247191222873</v>
      </c>
      <c r="Y16" s="42">
        <f>(INDEX('AEO 2026 Table 7 raw'!49:49,MATCH(Y11,'AEO 2026 Table 7 raw'!10:10,0))*SUM(INDEX('AEO 2026 Table 7 raw'!59:59,MATCH(Y11,'AEO 2026 Table 7 raw'!10:10,0)),INDEX('AEO 2026 Table 7 raw'!60:60,MATCH(Y11,'AEO 2026 Table 7 raw'!10:10,0))))/(INDEX('AEO 2026 Table 7 raw'!49:49,MATCH($E$11,'AEO 2026 Table 7 raw'!10:10,0))*SUM(INDEX('AEO 2026 Table 7 raw'!59:59,MATCH($E$11,'AEO 2026 Table 7 raw'!10:10,0)),INDEX('AEO 2026 Table 7 raw'!60:60,MATCH($E$11,'AEO 2026 Table 7 raw'!10:10,0))))</f>
        <v>1.3322726988196882</v>
      </c>
      <c r="Z16" s="42">
        <f>(INDEX('AEO 2026 Table 7 raw'!49:49,MATCH(Z11,'AEO 2026 Table 7 raw'!10:10,0))*SUM(INDEX('AEO 2026 Table 7 raw'!59:59,MATCH(Z11,'AEO 2026 Table 7 raw'!10:10,0)),INDEX('AEO 2026 Table 7 raw'!60:60,MATCH(Z11,'AEO 2026 Table 7 raw'!10:10,0))))/(INDEX('AEO 2026 Table 7 raw'!49:49,MATCH($E$11,'AEO 2026 Table 7 raw'!10:10,0))*SUM(INDEX('AEO 2026 Table 7 raw'!59:59,MATCH($E$11,'AEO 2026 Table 7 raw'!10:10,0)),INDEX('AEO 2026 Table 7 raw'!60:60,MATCH($E$11,'AEO 2026 Table 7 raw'!10:10,0))))</f>
        <v>1.3485166507384947</v>
      </c>
      <c r="AA16" s="42">
        <f>(INDEX('AEO 2026 Table 7 raw'!49:49,MATCH(AA11,'AEO 2026 Table 7 raw'!10:10,0))*SUM(INDEX('AEO 2026 Table 7 raw'!59:59,MATCH(AA11,'AEO 2026 Table 7 raw'!10:10,0)),INDEX('AEO 2026 Table 7 raw'!60:60,MATCH(AA11,'AEO 2026 Table 7 raw'!10:10,0))))/(INDEX('AEO 2026 Table 7 raw'!49:49,MATCH($E$11,'AEO 2026 Table 7 raw'!10:10,0))*SUM(INDEX('AEO 2026 Table 7 raw'!59:59,MATCH($E$11,'AEO 2026 Table 7 raw'!10:10,0)),INDEX('AEO 2026 Table 7 raw'!60:60,MATCH($E$11,'AEO 2026 Table 7 raw'!10:10,0))))</f>
        <v>1.3649936752655762</v>
      </c>
      <c r="AB16" s="42">
        <f>(INDEX('AEO 2026 Table 7 raw'!49:49,MATCH(AB11,'AEO 2026 Table 7 raw'!10:10,0))*SUM(INDEX('AEO 2026 Table 7 raw'!59:59,MATCH(AB11,'AEO 2026 Table 7 raw'!10:10,0)),INDEX('AEO 2026 Table 7 raw'!60:60,MATCH(AB11,'AEO 2026 Table 7 raw'!10:10,0))))/(INDEX('AEO 2026 Table 7 raw'!49:49,MATCH($E$11,'AEO 2026 Table 7 raw'!10:10,0))*SUM(INDEX('AEO 2026 Table 7 raw'!59:59,MATCH($E$11,'AEO 2026 Table 7 raw'!10:10,0)),INDEX('AEO 2026 Table 7 raw'!60:60,MATCH($E$11,'AEO 2026 Table 7 raw'!10:10,0))))</f>
        <v>1.3807063961992092</v>
      </c>
      <c r="AC16" s="42">
        <f>(INDEX('AEO 2026 Table 7 raw'!49:49,MATCH(AC11,'AEO 2026 Table 7 raw'!10:10,0))*SUM(INDEX('AEO 2026 Table 7 raw'!59:59,MATCH(AC11,'AEO 2026 Table 7 raw'!10:10,0)),INDEX('AEO 2026 Table 7 raw'!60:60,MATCH(AC11,'AEO 2026 Table 7 raw'!10:10,0))))/(INDEX('AEO 2026 Table 7 raw'!49:49,MATCH($E$11,'AEO 2026 Table 7 raw'!10:10,0))*SUM(INDEX('AEO 2026 Table 7 raw'!59:59,MATCH($E$11,'AEO 2026 Table 7 raw'!10:10,0)),INDEX('AEO 2026 Table 7 raw'!60:60,MATCH($E$11,'AEO 2026 Table 7 raw'!10:10,0))))</f>
        <v>1.3961314575920318</v>
      </c>
      <c r="AD16" s="42">
        <f>(INDEX('AEO 2026 Table 7 raw'!49:49,MATCH(AD11,'AEO 2026 Table 7 raw'!10:10,0))*SUM(INDEX('AEO 2026 Table 7 raw'!59:59,MATCH(AD11,'AEO 2026 Table 7 raw'!10:10,0)),INDEX('AEO 2026 Table 7 raw'!60:60,MATCH(AD11,'AEO 2026 Table 7 raw'!10:10,0))))/(INDEX('AEO 2026 Table 7 raw'!49:49,MATCH($E$11,'AEO 2026 Table 7 raw'!10:10,0))*SUM(INDEX('AEO 2026 Table 7 raw'!59:59,MATCH($E$11,'AEO 2026 Table 7 raw'!10:10,0)),INDEX('AEO 2026 Table 7 raw'!60:60,MATCH($E$11,'AEO 2026 Table 7 raw'!10:10,0))))</f>
        <v>1.4130871380414847</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7"/>
      <c r="E21" s="16"/>
    </row>
    <row r="22" spans="2:30">
      <c r="C22" s="18"/>
      <c r="D22" s="18"/>
      <c r="E22" s="18"/>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7"/>
  <sheetViews>
    <sheetView workbookViewId="0">
      <selection sqref="A1:AB7"/>
    </sheetView>
  </sheetViews>
  <sheetFormatPr defaultColWidth="9.1328125" defaultRowHeight="14.25"/>
  <cols>
    <col min="1" max="1" width="16.597656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'US-calcs'!D3</f>
        <v>1</v>
      </c>
      <c r="C2">
        <f>'US-calcs'!E3</f>
        <v>1</v>
      </c>
      <c r="D2">
        <f>'US-calcs'!F3</f>
        <v>1.0072233198263194</v>
      </c>
      <c r="E2">
        <f>'US-calcs'!G3</f>
        <v>1.0158864775375587</v>
      </c>
      <c r="F2">
        <f>'US-calcs'!H3</f>
        <v>1.0214719356128747</v>
      </c>
      <c r="G2">
        <f>'US-calcs'!I3</f>
        <v>1.0266537032309233</v>
      </c>
      <c r="H2">
        <f>'US-calcs'!J3</f>
        <v>1.0310951569940252</v>
      </c>
      <c r="I2">
        <f>'US-calcs'!K3</f>
        <v>1.0350232600756664</v>
      </c>
      <c r="J2">
        <f>'US-calcs'!L3</f>
        <v>1.0391198466027787</v>
      </c>
      <c r="K2">
        <f>'US-calcs'!M3</f>
        <v>1.0418110304445807</v>
      </c>
      <c r="L2">
        <f>'US-calcs'!N3</f>
        <v>1.0451077929089423</v>
      </c>
      <c r="M2">
        <f>'US-calcs'!O3</f>
        <v>1.0475481407954841</v>
      </c>
      <c r="N2">
        <f>'US-calcs'!P3</f>
        <v>1.0506947967039417</v>
      </c>
      <c r="O2">
        <f>'US-calcs'!Q3</f>
        <v>1.0542815533555385</v>
      </c>
      <c r="P2">
        <f>'US-calcs'!R3</f>
        <v>1.0579271332284133</v>
      </c>
      <c r="Q2">
        <f>'US-calcs'!S3</f>
        <v>1.0609620679531004</v>
      </c>
      <c r="R2">
        <f>'US-calcs'!T3</f>
        <v>1.0642022399023929</v>
      </c>
      <c r="S2">
        <f>'US-calcs'!U3</f>
        <v>1.0665870277536544</v>
      </c>
      <c r="T2">
        <f>'US-calcs'!V3</f>
        <v>1.0688455818307865</v>
      </c>
      <c r="U2">
        <f>'US-calcs'!W3</f>
        <v>1.0707578088255614</v>
      </c>
      <c r="V2">
        <f>'US-calcs'!X3</f>
        <v>1.072900691546399</v>
      </c>
      <c r="W2">
        <f>'US-calcs'!Y3</f>
        <v>1.0748167828403818</v>
      </c>
      <c r="X2">
        <f>'US-calcs'!Z3</f>
        <v>1.0764562761843841</v>
      </c>
      <c r="Y2">
        <f>'US-calcs'!AA3</f>
        <v>1.0772840090747484</v>
      </c>
      <c r="Z2">
        <f>'US-calcs'!AB3</f>
        <v>1.078237803992611</v>
      </c>
      <c r="AA2">
        <f>'US-calcs'!AC3</f>
        <v>1.0789479763137351</v>
      </c>
      <c r="AB2">
        <f>'US-calcs'!AD3</f>
        <v>1.0800628695719154</v>
      </c>
    </row>
    <row r="3" spans="1:28">
      <c r="A3" t="s">
        <v>118</v>
      </c>
      <c r="B3">
        <f>'US-calcs'!D4</f>
        <v>1</v>
      </c>
      <c r="C3">
        <f>'US-calcs'!E4</f>
        <v>1</v>
      </c>
      <c r="D3">
        <f>'US-calcs'!F4</f>
        <v>1.0190449788365823</v>
      </c>
      <c r="E3">
        <f>'US-calcs'!G4</f>
        <v>1.0323155590215847</v>
      </c>
      <c r="F3">
        <f>'US-calcs'!H4</f>
        <v>1.0421306038760074</v>
      </c>
      <c r="G3">
        <f>'US-calcs'!I4</f>
        <v>1.0507403046071295</v>
      </c>
      <c r="H3">
        <f>'US-calcs'!J4</f>
        <v>1.057946508092912</v>
      </c>
      <c r="I3">
        <f>'US-calcs'!K4</f>
        <v>1.0635888046631334</v>
      </c>
      <c r="J3">
        <f>'US-calcs'!L4</f>
        <v>1.0688166222161797</v>
      </c>
      <c r="K3">
        <f>'US-calcs'!M4</f>
        <v>1.0745398225743237</v>
      </c>
      <c r="L3">
        <f>'US-calcs'!N4</f>
        <v>1.0798008403859127</v>
      </c>
      <c r="M3">
        <f>'US-calcs'!O4</f>
        <v>1.0853974429160866</v>
      </c>
      <c r="N3">
        <f>'US-calcs'!P4</f>
        <v>1.090214887799726</v>
      </c>
      <c r="O3">
        <f>'US-calcs'!Q4</f>
        <v>1.0951717737692446</v>
      </c>
      <c r="P3">
        <f>'US-calcs'!R4</f>
        <v>1.0996301316460146</v>
      </c>
      <c r="Q3">
        <f>'US-calcs'!S4</f>
        <v>1.104072850453629</v>
      </c>
      <c r="R3">
        <f>'US-calcs'!T4</f>
        <v>1.1084681278391679</v>
      </c>
      <c r="S3">
        <f>'US-calcs'!U4</f>
        <v>1.1120982266344004</v>
      </c>
      <c r="T3">
        <f>'US-calcs'!V4</f>
        <v>1.1156849903553248</v>
      </c>
      <c r="U3">
        <f>'US-calcs'!W4</f>
        <v>1.1189368683104755</v>
      </c>
      <c r="V3">
        <f>'US-calcs'!X4</f>
        <v>1.1220701863949882</v>
      </c>
      <c r="W3">
        <f>'US-calcs'!Y4</f>
        <v>1.1250920215060789</v>
      </c>
      <c r="X3">
        <f>'US-calcs'!Z4</f>
        <v>1.1277228798882792</v>
      </c>
      <c r="Y3">
        <f>'US-calcs'!AA4</f>
        <v>1.1302394594858116</v>
      </c>
      <c r="Z3">
        <f>'US-calcs'!AB4</f>
        <v>1.132368906594917</v>
      </c>
      <c r="AA3">
        <f>'US-calcs'!AC4</f>
        <v>1.1343181112477754</v>
      </c>
      <c r="AB3">
        <f>'US-calcs'!AD4</f>
        <v>1.1361936637481307</v>
      </c>
    </row>
    <row r="4" spans="1:28">
      <c r="A4" t="s">
        <v>116</v>
      </c>
      <c r="B4">
        <f>'US-calcs'!D5</f>
        <v>1</v>
      </c>
      <c r="C4">
        <f>'US-calcs'!E5</f>
        <v>1</v>
      </c>
      <c r="D4">
        <f>'US-calcs'!F5</f>
        <v>1.032477399740966</v>
      </c>
      <c r="E4">
        <f>'US-calcs'!G5</f>
        <v>1.0524095440255241</v>
      </c>
      <c r="F4">
        <f>'US-calcs'!H5</f>
        <v>1.0615640738975591</v>
      </c>
      <c r="G4">
        <f>'US-calcs'!I5</f>
        <v>1.0755797883225811</v>
      </c>
      <c r="H4">
        <f>'US-calcs'!J5</f>
        <v>1.0937832634471882</v>
      </c>
      <c r="I4">
        <f>'US-calcs'!K5</f>
        <v>1.1111440359626363</v>
      </c>
      <c r="J4">
        <f>'US-calcs'!L5</f>
        <v>1.1329588484374851</v>
      </c>
      <c r="K4">
        <f>'US-calcs'!M5</f>
        <v>1.1567433720328146</v>
      </c>
      <c r="L4">
        <f>'US-calcs'!N5</f>
        <v>1.1829731667419781</v>
      </c>
      <c r="M4">
        <f>'US-calcs'!O5</f>
        <v>1.2118570840927412</v>
      </c>
      <c r="N4">
        <f>'US-calcs'!P5</f>
        <v>1.233787610443229</v>
      </c>
      <c r="O4">
        <f>'US-calcs'!Q5</f>
        <v>1.2558553967990178</v>
      </c>
      <c r="P4">
        <f>'US-calcs'!R5</f>
        <v>1.2777326157928492</v>
      </c>
      <c r="Q4">
        <f>'US-calcs'!S5</f>
        <v>1.2986636935869105</v>
      </c>
      <c r="R4">
        <f>'US-calcs'!T5</f>
        <v>1.3201105908755659</v>
      </c>
      <c r="S4">
        <f>'US-calcs'!U5</f>
        <v>1.3402183661612797</v>
      </c>
      <c r="T4">
        <f>'US-calcs'!V5</f>
        <v>1.3614918643187852</v>
      </c>
      <c r="U4">
        <f>'US-calcs'!W5</f>
        <v>1.3841832866586365</v>
      </c>
      <c r="V4">
        <f>'US-calcs'!X5</f>
        <v>1.4068541071215195</v>
      </c>
      <c r="W4">
        <f>'US-calcs'!Y5</f>
        <v>1.4297236498559927</v>
      </c>
      <c r="X4">
        <f>'US-calcs'!Z5</f>
        <v>1.4516135733406219</v>
      </c>
      <c r="Y4">
        <f>'US-calcs'!AA5</f>
        <v>1.4715409105205546</v>
      </c>
      <c r="Z4">
        <f>'US-calcs'!AB5</f>
        <v>1.4917087746140925</v>
      </c>
      <c r="AA4">
        <f>'US-calcs'!AC5</f>
        <v>1.5108346987799568</v>
      </c>
      <c r="AB4">
        <f>'US-calcs'!AD5</f>
        <v>1.5305191054939713</v>
      </c>
    </row>
    <row r="5" spans="1:28">
      <c r="A5" t="s">
        <v>121</v>
      </c>
      <c r="B5">
        <f>'US-calcs'!D6</f>
        <v>1</v>
      </c>
      <c r="C5">
        <f>'US-calcs'!E6</f>
        <v>1</v>
      </c>
      <c r="D5">
        <f>'US-calcs'!F6</f>
        <v>1.0648734346141118</v>
      </c>
      <c r="E5">
        <f>'US-calcs'!G6</f>
        <v>1.1134850518093471</v>
      </c>
      <c r="F5">
        <f>'US-calcs'!H6</f>
        <v>1.1506462997269236</v>
      </c>
      <c r="G5">
        <f>'US-calcs'!I6</f>
        <v>1.183058879722384</v>
      </c>
      <c r="H5">
        <f>'US-calcs'!J6</f>
        <v>1.2108931455141039</v>
      </c>
      <c r="I5">
        <f>'US-calcs'!K6</f>
        <v>1.2345255463271598</v>
      </c>
      <c r="J5">
        <f>'US-calcs'!L6</f>
        <v>1.2560120473035605</v>
      </c>
      <c r="K5">
        <f>'US-calcs'!M6</f>
        <v>1.2784251657467409</v>
      </c>
      <c r="L5">
        <f>'US-calcs'!N6</f>
        <v>1.2957967192751751</v>
      </c>
      <c r="M5">
        <f>'US-calcs'!O6</f>
        <v>1.3131794131012688</v>
      </c>
      <c r="N5">
        <f>'US-calcs'!P6</f>
        <v>1.3268421758672375</v>
      </c>
      <c r="O5">
        <f>'US-calcs'!Q6</f>
        <v>1.3414179788622134</v>
      </c>
      <c r="P5">
        <f>'US-calcs'!R6</f>
        <v>1.3547107909100742</v>
      </c>
      <c r="Q5">
        <f>'US-calcs'!S6</f>
        <v>1.3652879233139041</v>
      </c>
      <c r="R5">
        <f>'US-calcs'!T6</f>
        <v>1.3762506724794263</v>
      </c>
      <c r="S5">
        <f>'US-calcs'!U6</f>
        <v>1.3857035631777888</v>
      </c>
      <c r="T5">
        <f>'US-calcs'!V6</f>
        <v>1.3952048445441088</v>
      </c>
      <c r="U5">
        <f>'US-calcs'!W6</f>
        <v>1.4031384771491606</v>
      </c>
      <c r="V5">
        <f>'US-calcs'!X6</f>
        <v>1.4119216734955145</v>
      </c>
      <c r="W5">
        <f>'US-calcs'!Y6</f>
        <v>1.4213966126996609</v>
      </c>
      <c r="X5">
        <f>'US-calcs'!Z6</f>
        <v>1.4292179139699797</v>
      </c>
      <c r="Y5">
        <f>'US-calcs'!AA6</f>
        <v>1.4378002368241611</v>
      </c>
      <c r="Z5">
        <f>'US-calcs'!AB6</f>
        <v>1.4440223251565096</v>
      </c>
      <c r="AA5">
        <f>'US-calcs'!AC6</f>
        <v>1.449828160908603</v>
      </c>
      <c r="AB5">
        <f>'US-calcs'!AD6</f>
        <v>1.4553276384750604</v>
      </c>
    </row>
    <row r="6" spans="1:28">
      <c r="A6" t="s">
        <v>122</v>
      </c>
      <c r="B6">
        <f>'US-calcs'!D7</f>
        <v>1</v>
      </c>
      <c r="C6">
        <f>'US-calcs'!E7</f>
        <v>1</v>
      </c>
      <c r="D6">
        <f>'US-calcs'!F7</f>
        <v>1.0030389227215093</v>
      </c>
      <c r="E6">
        <f>'US-calcs'!G7</f>
        <v>0.99897884121779124</v>
      </c>
      <c r="F6">
        <f>'US-calcs'!H7</f>
        <v>0.98892123254330333</v>
      </c>
      <c r="G6">
        <f>'US-calcs'!I7</f>
        <v>0.98128147588619274</v>
      </c>
      <c r="H6">
        <f>'US-calcs'!J7</f>
        <v>0.97591640142070291</v>
      </c>
      <c r="I6">
        <f>'US-calcs'!K7</f>
        <v>0.97011193875996593</v>
      </c>
      <c r="J6">
        <f>'US-calcs'!L7</f>
        <v>0.96663133712599758</v>
      </c>
      <c r="K6">
        <f>'US-calcs'!M7</f>
        <v>0.96433611006438047</v>
      </c>
      <c r="L6">
        <f>'US-calcs'!N7</f>
        <v>0.9632758659197399</v>
      </c>
      <c r="M6">
        <f>'US-calcs'!O7</f>
        <v>0.96351259722662863</v>
      </c>
      <c r="N6">
        <f>'US-calcs'!P7</f>
        <v>0.96073975562628777</v>
      </c>
      <c r="O6">
        <f>'US-calcs'!Q7</f>
        <v>0.95798903376402622</v>
      </c>
      <c r="P6">
        <f>'US-calcs'!R7</f>
        <v>0.9550563430532284</v>
      </c>
      <c r="Q6">
        <f>'US-calcs'!S7</f>
        <v>0.95203596082415454</v>
      </c>
      <c r="R6">
        <f>'US-calcs'!T7</f>
        <v>0.94909346298029151</v>
      </c>
      <c r="S6">
        <f>'US-calcs'!U7</f>
        <v>0.94538450547424147</v>
      </c>
      <c r="T6">
        <f>'US-calcs'!V7</f>
        <v>0.94209095521762398</v>
      </c>
      <c r="U6">
        <f>'US-calcs'!W7</f>
        <v>0.93908310034830356</v>
      </c>
      <c r="V6">
        <f>'US-calcs'!X7</f>
        <v>0.93606171593044951</v>
      </c>
      <c r="W6">
        <f>'US-calcs'!Y7</f>
        <v>0.93299344339465984</v>
      </c>
      <c r="X6">
        <f>'US-calcs'!Z7</f>
        <v>0.92943259507335452</v>
      </c>
      <c r="Y6">
        <f>'US-calcs'!AA7</f>
        <v>0.92519276385339866</v>
      </c>
      <c r="Z6">
        <f>'US-calcs'!AB7</f>
        <v>0.92079186657946654</v>
      </c>
      <c r="AA6">
        <f>'US-calcs'!AC7</f>
        <v>0.9159893063593747</v>
      </c>
      <c r="AB6">
        <f>'US-calcs'!AD7</f>
        <v>0.91144795948637547</v>
      </c>
    </row>
    <row r="7" spans="1:28">
      <c r="A7" t="s">
        <v>123</v>
      </c>
      <c r="B7">
        <f>'US-calcs'!D8</f>
        <v>1</v>
      </c>
      <c r="C7">
        <f>'US-calcs'!E8</f>
        <v>1</v>
      </c>
      <c r="D7">
        <f>'US-calcs'!F8</f>
        <v>1.0069874254767137</v>
      </c>
      <c r="E7">
        <f>'US-calcs'!G8</f>
        <v>1.0161839026320174</v>
      </c>
      <c r="F7">
        <f>'US-calcs'!H8</f>
        <v>1.0224479516998086</v>
      </c>
      <c r="G7">
        <f>'US-calcs'!I8</f>
        <v>1.028511418050944</v>
      </c>
      <c r="H7">
        <f>'US-calcs'!J8</f>
        <v>1.0335455352531038</v>
      </c>
      <c r="I7">
        <f>'US-calcs'!K8</f>
        <v>1.0387351837548324</v>
      </c>
      <c r="J7">
        <f>'US-calcs'!L8</f>
        <v>1.0439840260848761</v>
      </c>
      <c r="K7">
        <f>'US-calcs'!M8</f>
        <v>1.0476920676818111</v>
      </c>
      <c r="L7">
        <f>'US-calcs'!N8</f>
        <v>1.0517649236077315</v>
      </c>
      <c r="M7">
        <f>'US-calcs'!O8</f>
        <v>1.0549224502729573</v>
      </c>
      <c r="N7">
        <f>'US-calcs'!P8</f>
        <v>1.0588988806677784</v>
      </c>
      <c r="O7">
        <f>'US-calcs'!Q8</f>
        <v>1.0633378894323395</v>
      </c>
      <c r="P7">
        <f>'US-calcs'!R8</f>
        <v>1.0677536503976219</v>
      </c>
      <c r="Q7">
        <f>'US-calcs'!S8</f>
        <v>1.0714377573284815</v>
      </c>
      <c r="R7">
        <f>'US-calcs'!T8</f>
        <v>1.0753604536054238</v>
      </c>
      <c r="S7">
        <f>'US-calcs'!U8</f>
        <v>1.0787205531398196</v>
      </c>
      <c r="T7">
        <f>'US-calcs'!V8</f>
        <v>1.0818120349207305</v>
      </c>
      <c r="U7">
        <f>'US-calcs'!W8</f>
        <v>1.0846685025852962</v>
      </c>
      <c r="V7">
        <f>'US-calcs'!X8</f>
        <v>1.0878748848529458</v>
      </c>
      <c r="W7">
        <f>'US-calcs'!Y8</f>
        <v>1.0909496352631638</v>
      </c>
      <c r="X7">
        <f>'US-calcs'!Z8</f>
        <v>1.093549478925236</v>
      </c>
      <c r="Y7">
        <f>'US-calcs'!AA8</f>
        <v>1.0953931526918275</v>
      </c>
      <c r="Z7">
        <f>'US-calcs'!AB8</f>
        <v>1.097183145176448</v>
      </c>
      <c r="AA7">
        <f>'US-calcs'!AC8</f>
        <v>1.0988109490371607</v>
      </c>
      <c r="AB7">
        <f>'US-calcs'!AD8</f>
        <v>1.100854219250136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7"/>
  <sheetViews>
    <sheetView workbookViewId="0">
      <selection activeCell="G2" sqref="G2"/>
    </sheetView>
  </sheetViews>
  <sheetFormatPr defaultColWidth="9.1328125" defaultRowHeight="14.25"/>
  <cols>
    <col min="1" max="1" width="16.597656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'US-calcs'!D12</f>
        <v>1</v>
      </c>
      <c r="C2">
        <f>'US-calcs'!E12</f>
        <v>1</v>
      </c>
      <c r="D2">
        <f>'US-calcs'!F12</f>
        <v>0.99717440675315006</v>
      </c>
      <c r="E2">
        <f>'US-calcs'!G12</f>
        <v>0.99980810015275634</v>
      </c>
      <c r="F2">
        <f>'US-calcs'!H12</f>
        <v>1.0020683381155304</v>
      </c>
      <c r="G2">
        <f>'US-calcs'!I12</f>
        <v>1.0055012235551142</v>
      </c>
      <c r="H2">
        <f>'US-calcs'!J12</f>
        <v>1.0137509172823871</v>
      </c>
      <c r="I2">
        <f>'US-calcs'!K12</f>
        <v>1.0206527199202642</v>
      </c>
      <c r="J2">
        <f>'US-calcs'!L12</f>
        <v>1.0294005157247725</v>
      </c>
      <c r="K2">
        <f>'US-calcs'!M12</f>
        <v>1.036868831445916</v>
      </c>
      <c r="L2">
        <f>'US-calcs'!N12</f>
        <v>1.0463355248361006</v>
      </c>
      <c r="M2">
        <f>'US-calcs'!O12</f>
        <v>1.0565664402520012</v>
      </c>
      <c r="N2">
        <f>'US-calcs'!P12</f>
        <v>1.0671911454600669</v>
      </c>
      <c r="O2">
        <f>'US-calcs'!Q12</f>
        <v>1.0791621864617669</v>
      </c>
      <c r="P2">
        <f>'US-calcs'!R12</f>
        <v>1.0924589587202271</v>
      </c>
      <c r="Q2">
        <f>'US-calcs'!S12</f>
        <v>1.1061966875043128</v>
      </c>
      <c r="R2">
        <f>'US-calcs'!T12</f>
        <v>1.1205317162873141</v>
      </c>
      <c r="S2">
        <f>'US-calcs'!U12</f>
        <v>1.1339171845415872</v>
      </c>
      <c r="T2">
        <f>'US-calcs'!V12</f>
        <v>1.1467271095371714</v>
      </c>
      <c r="U2">
        <f>'US-calcs'!W12</f>
        <v>1.1569171797109685</v>
      </c>
      <c r="V2">
        <f>'US-calcs'!X12</f>
        <v>1.1668712768343033</v>
      </c>
      <c r="W2">
        <f>'US-calcs'!Y12</f>
        <v>1.1782998511102292</v>
      </c>
      <c r="X2">
        <f>'US-calcs'!Z12</f>
        <v>1.1902743222628023</v>
      </c>
      <c r="Y2">
        <f>'US-calcs'!AA12</f>
        <v>1.2030274135108141</v>
      </c>
      <c r="Z2">
        <f>'US-calcs'!AB12</f>
        <v>1.2144890076400834</v>
      </c>
      <c r="AA2">
        <f>'US-calcs'!AC12</f>
        <v>1.2268305880502479</v>
      </c>
      <c r="AB2">
        <f>'US-calcs'!AD12</f>
        <v>1.2384229047256823</v>
      </c>
    </row>
    <row r="3" spans="1:28">
      <c r="A3" t="s">
        <v>118</v>
      </c>
      <c r="B3">
        <f>'US-calcs'!D13</f>
        <v>1</v>
      </c>
      <c r="C3">
        <f>'US-calcs'!E13</f>
        <v>1</v>
      </c>
      <c r="D3">
        <f>'US-calcs'!F13</f>
        <v>1.0118345589310906</v>
      </c>
      <c r="E3">
        <f>'US-calcs'!G13</f>
        <v>1.0279382469470737</v>
      </c>
      <c r="F3">
        <f>'US-calcs'!H13</f>
        <v>1.0432056747612115</v>
      </c>
      <c r="G3">
        <f>'US-calcs'!I13</f>
        <v>1.0558925120220481</v>
      </c>
      <c r="H3">
        <f>'US-calcs'!J13</f>
        <v>1.0709939093297061</v>
      </c>
      <c r="I3">
        <f>'US-calcs'!K13</f>
        <v>1.0816952318621904</v>
      </c>
      <c r="J3">
        <f>'US-calcs'!L13</f>
        <v>1.0933613446455177</v>
      </c>
      <c r="K3">
        <f>'US-calcs'!M13</f>
        <v>1.1028465394728153</v>
      </c>
      <c r="L3">
        <f>'US-calcs'!N13</f>
        <v>1.1136451627703663</v>
      </c>
      <c r="M3">
        <f>'US-calcs'!O13</f>
        <v>1.1243448713591111</v>
      </c>
      <c r="N3">
        <f>'US-calcs'!P13</f>
        <v>1.1342618383313927</v>
      </c>
      <c r="O3">
        <f>'US-calcs'!Q13</f>
        <v>1.1434960121639037</v>
      </c>
      <c r="P3">
        <f>'US-calcs'!R13</f>
        <v>1.1517187970758314</v>
      </c>
      <c r="Q3">
        <f>'US-calcs'!S13</f>
        <v>1.1593785476929368</v>
      </c>
      <c r="R3">
        <f>'US-calcs'!T13</f>
        <v>1.1672452101169357</v>
      </c>
      <c r="S3">
        <f>'US-calcs'!U13</f>
        <v>1.174878478343462</v>
      </c>
      <c r="T3">
        <f>'US-calcs'!V13</f>
        <v>1.1819847675673385</v>
      </c>
      <c r="U3">
        <f>'US-calcs'!W13</f>
        <v>1.188051096846978</v>
      </c>
      <c r="V3">
        <f>'US-calcs'!X13</f>
        <v>1.1944659799568125</v>
      </c>
      <c r="W3">
        <f>'US-calcs'!Y13</f>
        <v>1.2028692839485959</v>
      </c>
      <c r="X3">
        <f>'US-calcs'!Z13</f>
        <v>1.2115239201203969</v>
      </c>
      <c r="Y3">
        <f>'US-calcs'!AA13</f>
        <v>1.2201089457383518</v>
      </c>
      <c r="Z3">
        <f>'US-calcs'!AB13</f>
        <v>1.226474176343723</v>
      </c>
      <c r="AA3">
        <f>'US-calcs'!AC13</f>
        <v>1.2327767901514537</v>
      </c>
      <c r="AB3">
        <f>'US-calcs'!AD13</f>
        <v>1.2384968968529664</v>
      </c>
    </row>
    <row r="4" spans="1:28">
      <c r="A4" t="s">
        <v>116</v>
      </c>
      <c r="B4">
        <f>'US-calcs'!D14</f>
        <v>1</v>
      </c>
      <c r="C4">
        <f>'US-calcs'!E14</f>
        <v>1</v>
      </c>
      <c r="D4">
        <f>'US-calcs'!F14</f>
        <v>1.0279218016294767</v>
      </c>
      <c r="E4">
        <f>'US-calcs'!G14</f>
        <v>1.0481178519788865</v>
      </c>
      <c r="F4">
        <f>'US-calcs'!H14</f>
        <v>1.0618686335044238</v>
      </c>
      <c r="G4">
        <f>'US-calcs'!I14</f>
        <v>1.0793618569090695</v>
      </c>
      <c r="H4">
        <f>'US-calcs'!J14</f>
        <v>1.0998907712006247</v>
      </c>
      <c r="I4">
        <f>'US-calcs'!K14</f>
        <v>1.1201259539281085</v>
      </c>
      <c r="J4">
        <f>'US-calcs'!L14</f>
        <v>1.1435838188132317</v>
      </c>
      <c r="K4">
        <f>'US-calcs'!M14</f>
        <v>1.1686173109914255</v>
      </c>
      <c r="L4">
        <f>'US-calcs'!N14</f>
        <v>1.1955486566622358</v>
      </c>
      <c r="M4">
        <f>'US-calcs'!O14</f>
        <v>1.2245081061030982</v>
      </c>
      <c r="N4">
        <f>'US-calcs'!P14</f>
        <v>1.2489892950887451</v>
      </c>
      <c r="O4">
        <f>'US-calcs'!Q14</f>
        <v>1.2737559269844445</v>
      </c>
      <c r="P4">
        <f>'US-calcs'!R14</f>
        <v>1.2985784977456294</v>
      </c>
      <c r="Q4">
        <f>'US-calcs'!S14</f>
        <v>1.3229276794119746</v>
      </c>
      <c r="R4">
        <f>'US-calcs'!T14</f>
        <v>1.3478206273391931</v>
      </c>
      <c r="S4">
        <f>'US-calcs'!U14</f>
        <v>1.3719509427035714</v>
      </c>
      <c r="T4">
        <f>'US-calcs'!V14</f>
        <v>1.3970490634651733</v>
      </c>
      <c r="U4">
        <f>'US-calcs'!W14</f>
        <v>1.4232973973072531</v>
      </c>
      <c r="V4">
        <f>'US-calcs'!X14</f>
        <v>1.4497092124359678</v>
      </c>
      <c r="W4">
        <f>'US-calcs'!Y14</f>
        <v>1.4764340101961522</v>
      </c>
      <c r="X4">
        <f>'US-calcs'!Z14</f>
        <v>1.5026578600417988</v>
      </c>
      <c r="Y4">
        <f>'US-calcs'!AA14</f>
        <v>1.5276866158462679</v>
      </c>
      <c r="Z4">
        <f>'US-calcs'!AB14</f>
        <v>1.5530653667510728</v>
      </c>
      <c r="AA4">
        <f>'US-calcs'!AC14</f>
        <v>1.5778981550926723</v>
      </c>
      <c r="AB4">
        <f>'US-calcs'!AD14</f>
        <v>1.6033284713565792</v>
      </c>
    </row>
    <row r="5" spans="1:28">
      <c r="A5" t="s">
        <v>121</v>
      </c>
      <c r="B5">
        <f>'US-calcs'!D15</f>
        <v>1</v>
      </c>
      <c r="C5">
        <f>'US-calcs'!E15</f>
        <v>1</v>
      </c>
      <c r="D5">
        <f>'US-calcs'!F15</f>
        <v>0.97830978545667635</v>
      </c>
      <c r="E5">
        <f>'US-calcs'!G15</f>
        <v>1.0109039236457087</v>
      </c>
      <c r="F5">
        <f>'US-calcs'!H15</f>
        <v>0.99119527359943416</v>
      </c>
      <c r="G5">
        <f>'US-calcs'!I15</f>
        <v>0.98437935774986285</v>
      </c>
      <c r="H5">
        <f>'US-calcs'!J15</f>
        <v>0.99194246509830231</v>
      </c>
      <c r="I5">
        <f>'US-calcs'!K15</f>
        <v>0.9675376012385507</v>
      </c>
      <c r="J5">
        <f>'US-calcs'!L15</f>
        <v>0.97263496893215862</v>
      </c>
      <c r="K5">
        <f>'US-calcs'!M15</f>
        <v>0.97789036227032156</v>
      </c>
      <c r="L5">
        <f>'US-calcs'!N15</f>
        <v>0.97614984469547994</v>
      </c>
      <c r="M5">
        <f>'US-calcs'!O15</f>
        <v>0.9803742170600166</v>
      </c>
      <c r="N5">
        <f>'US-calcs'!P15</f>
        <v>0.98373314849215043</v>
      </c>
      <c r="O5">
        <f>'US-calcs'!Q15</f>
        <v>0.98849473096249618</v>
      </c>
      <c r="P5">
        <f>'US-calcs'!R15</f>
        <v>0.98993183929979067</v>
      </c>
      <c r="Q5">
        <f>'US-calcs'!S15</f>
        <v>0.99296315659077172</v>
      </c>
      <c r="R5">
        <f>'US-calcs'!T15</f>
        <v>0.994984111870439</v>
      </c>
      <c r="S5">
        <f>'US-calcs'!U15</f>
        <v>0.9951249474082946</v>
      </c>
      <c r="T5">
        <f>'US-calcs'!V15</f>
        <v>0.99309019379185848</v>
      </c>
      <c r="U5">
        <f>'US-calcs'!W15</f>
        <v>0.99169895143432552</v>
      </c>
      <c r="V5">
        <f>'US-calcs'!X15</f>
        <v>0.99283789236033149</v>
      </c>
      <c r="W5">
        <f>'US-calcs'!Y15</f>
        <v>0.99336292292865769</v>
      </c>
      <c r="X5">
        <f>'US-calcs'!Z15</f>
        <v>0.99647764692569207</v>
      </c>
      <c r="Y5">
        <f>'US-calcs'!AA15</f>
        <v>1.0033896115328811</v>
      </c>
      <c r="Z5">
        <f>'US-calcs'!AB15</f>
        <v>1.0076129817835746</v>
      </c>
      <c r="AA5">
        <f>'US-calcs'!AC15</f>
        <v>1.0057834302480202</v>
      </c>
      <c r="AB5">
        <f>'US-calcs'!AD15</f>
        <v>1.0046351619547016</v>
      </c>
    </row>
    <row r="6" spans="1:28">
      <c r="A6" t="s">
        <v>122</v>
      </c>
      <c r="B6">
        <f>'US-calcs'!D16</f>
        <v>1</v>
      </c>
      <c r="C6">
        <f>'US-calcs'!E16</f>
        <v>1</v>
      </c>
      <c r="D6">
        <f>'US-calcs'!F16</f>
        <v>0.99319693740094372</v>
      </c>
      <c r="E6">
        <f>'US-calcs'!G16</f>
        <v>1.0134258591050325</v>
      </c>
      <c r="F6">
        <f>'US-calcs'!H16</f>
        <v>1.0357190120736635</v>
      </c>
      <c r="G6">
        <f>'US-calcs'!I16</f>
        <v>1.0546663961168747</v>
      </c>
      <c r="H6">
        <f>'US-calcs'!J16</f>
        <v>1.0745722380166023</v>
      </c>
      <c r="I6">
        <f>'US-calcs'!K16</f>
        <v>1.0931099384970953</v>
      </c>
      <c r="J6">
        <f>'US-calcs'!L16</f>
        <v>1.1137564446020281</v>
      </c>
      <c r="K6">
        <f>'US-calcs'!M16</f>
        <v>1.1347453982779299</v>
      </c>
      <c r="L6">
        <f>'US-calcs'!N16</f>
        <v>1.1565095869382649</v>
      </c>
      <c r="M6">
        <f>'US-calcs'!O16</f>
        <v>1.1793453842668205</v>
      </c>
      <c r="N6">
        <f>'US-calcs'!P16</f>
        <v>1.1981501246446953</v>
      </c>
      <c r="O6">
        <f>'US-calcs'!Q16</f>
        <v>1.2135853367929397</v>
      </c>
      <c r="P6">
        <f>'US-calcs'!R16</f>
        <v>1.229039792743259</v>
      </c>
      <c r="Q6">
        <f>'US-calcs'!S16</f>
        <v>1.2433137272282648</v>
      </c>
      <c r="R6">
        <f>'US-calcs'!T16</f>
        <v>1.257696150719166</v>
      </c>
      <c r="S6">
        <f>'US-calcs'!U16</f>
        <v>1.2717168800396377</v>
      </c>
      <c r="T6">
        <f>'US-calcs'!V16</f>
        <v>1.2868615449786298</v>
      </c>
      <c r="U6">
        <f>'US-calcs'!W16</f>
        <v>1.3016046084626953</v>
      </c>
      <c r="V6">
        <f>'US-calcs'!X16</f>
        <v>1.3162247191222873</v>
      </c>
      <c r="W6">
        <f>'US-calcs'!Y16</f>
        <v>1.3322726988196882</v>
      </c>
      <c r="X6">
        <f>'US-calcs'!Z16</f>
        <v>1.3485166507384947</v>
      </c>
      <c r="Y6">
        <f>'US-calcs'!AA16</f>
        <v>1.3649936752655762</v>
      </c>
      <c r="Z6">
        <f>'US-calcs'!AB16</f>
        <v>1.3807063961992092</v>
      </c>
      <c r="AA6">
        <f>'US-calcs'!AC16</f>
        <v>1.3961314575920318</v>
      </c>
      <c r="AB6">
        <f>'US-calcs'!AD16</f>
        <v>1.4130871380414847</v>
      </c>
    </row>
    <row r="7" spans="1:28">
      <c r="A7" t="s">
        <v>123</v>
      </c>
      <c r="B7">
        <f>'US-calcs'!D17</f>
        <v>0</v>
      </c>
      <c r="C7">
        <f>'US-calcs'!E17</f>
        <v>0</v>
      </c>
      <c r="D7">
        <f>'US-calcs'!F17</f>
        <v>0</v>
      </c>
      <c r="E7">
        <f>'US-calcs'!G17</f>
        <v>0</v>
      </c>
      <c r="F7">
        <f>'US-calcs'!H17</f>
        <v>0</v>
      </c>
      <c r="G7">
        <f>'US-calcs'!I17</f>
        <v>0</v>
      </c>
      <c r="H7">
        <f>'US-calcs'!J17</f>
        <v>0</v>
      </c>
      <c r="I7">
        <f>'US-calcs'!K17</f>
        <v>0</v>
      </c>
      <c r="J7">
        <f>'US-calcs'!L17</f>
        <v>0</v>
      </c>
      <c r="K7">
        <f>'US-calcs'!M17</f>
        <v>0</v>
      </c>
      <c r="L7">
        <f>'US-calcs'!N17</f>
        <v>0</v>
      </c>
      <c r="M7">
        <f>'US-calcs'!O17</f>
        <v>0</v>
      </c>
      <c r="N7">
        <f>'US-calcs'!P17</f>
        <v>0</v>
      </c>
      <c r="O7">
        <f>'US-calcs'!Q17</f>
        <v>0</v>
      </c>
      <c r="P7">
        <f>'US-calcs'!R17</f>
        <v>0</v>
      </c>
      <c r="Q7">
        <f>'US-calcs'!S17</f>
        <v>0</v>
      </c>
      <c r="R7">
        <f>'US-calcs'!T17</f>
        <v>0</v>
      </c>
      <c r="S7">
        <f>'US-calcs'!U17</f>
        <v>0</v>
      </c>
      <c r="T7">
        <f>'US-calcs'!V17</f>
        <v>0</v>
      </c>
      <c r="U7">
        <f>'US-calcs'!W17</f>
        <v>0</v>
      </c>
      <c r="V7">
        <f>'US-calcs'!X17</f>
        <v>0</v>
      </c>
      <c r="W7">
        <f>'US-calcs'!Y17</f>
        <v>0</v>
      </c>
      <c r="X7">
        <f>'US-calcs'!Z17</f>
        <v>0</v>
      </c>
      <c r="Y7">
        <f>'US-calcs'!AA17</f>
        <v>0</v>
      </c>
      <c r="Z7">
        <f>'US-calcs'!AB17</f>
        <v>0</v>
      </c>
      <c r="AA7">
        <f>'US-calcs'!AC17</f>
        <v>0</v>
      </c>
      <c r="AB7">
        <f>'US-calcs'!AD17</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BAFC9-FAB9-4A49-B6C7-DB48B65723FB}">
  <dimension ref="A1:AB22"/>
  <sheetViews>
    <sheetView workbookViewId="0">
      <selection activeCell="K31" sqref="K31"/>
    </sheetView>
  </sheetViews>
  <sheetFormatPr defaultRowHeight="14.25"/>
  <cols>
    <col min="1" max="1" width="18.73046875" customWidth="1"/>
    <col min="2" max="28" width="10.73046875" customWidth="1"/>
  </cols>
  <sheetData>
    <row r="1" spans="1:28">
      <c r="A1" s="1" t="s">
        <v>2956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s="15" t="s">
        <v>2957</v>
      </c>
      <c r="B2" s="1" t="str">
        <f>About!B1</f>
        <v>Louisiana</v>
      </c>
    </row>
    <row r="4" spans="1:28">
      <c r="A4" s="1" t="s">
        <v>2024</v>
      </c>
    </row>
    <row r="5" spans="1:28">
      <c r="A5" t="s">
        <v>120</v>
      </c>
      <c r="B5" s="66">
        <f>'BCDTRtSY-psgr-US'!B2</f>
        <v>1</v>
      </c>
      <c r="C5" s="66">
        <f>'BCDTRtSY-psgr-US'!C2*(INDEX(Pop_yearly_lookup!C:C, MATCH(About!$B$1, Pop_yearly_lookup!$A:$A, 0))/INDEX(Pop_yearly_lookup!$C:$C, MATCH(About!$B$1, Pop_yearly_lookup!$A:$A, 0)))/(INDEX(Pop_yearly_lookup!C:C, MATCH("United States", Pop_yearly_lookup!$A:$A, 0))/INDEX(Pop_yearly_lookup!$C:$C, MATCH("United States", Pop_yearly_lookup!$A:$A, 0)))</f>
        <v>1</v>
      </c>
      <c r="D5" s="66">
        <f>'BCDTRtSY-psgr-US'!D2*(INDEX(Pop_yearly_lookup!D:D, MATCH(About!$B$1, Pop_yearly_lookup!$A:$A, 0))/INDEX(Pop_yearly_lookup!$C:$C, MATCH(About!$B$1, Pop_yearly_lookup!$A:$A, 0)))/(INDEX(Pop_yearly_lookup!D:D, MATCH("United States", Pop_yearly_lookup!$A:$A, 0))/INDEX(Pop_yearly_lookup!$C:$C, MATCH("United States", Pop_yearly_lookup!$A:$A, 0)))</f>
        <v>1.0084247110729156</v>
      </c>
      <c r="E5" s="66">
        <f>'BCDTRtSY-psgr-US'!E2*(INDEX(Pop_yearly_lookup!E:E, MATCH(About!$B$1, Pop_yearly_lookup!$A:$A, 0))/INDEX(Pop_yearly_lookup!$C:$C, MATCH(About!$B$1, Pop_yearly_lookup!$A:$A, 0)))/(INDEX(Pop_yearly_lookup!E:E, MATCH("United States", Pop_yearly_lookup!$A:$A, 0))/INDEX(Pop_yearly_lookup!$C:$C, MATCH("United States", Pop_yearly_lookup!$A:$A, 0)))</f>
        <v>1.0182988106411848</v>
      </c>
      <c r="F5" s="66">
        <f>'BCDTRtSY-psgr-US'!F2*(INDEX(Pop_yearly_lookup!F:F, MATCH(About!$B$1, Pop_yearly_lookup!$A:$A, 0))/INDEX(Pop_yearly_lookup!$C:$C, MATCH(About!$B$1, Pop_yearly_lookup!$A:$A, 0)))/(INDEX(Pop_yearly_lookup!F:F, MATCH("United States", Pop_yearly_lookup!$A:$A, 0))/INDEX(Pop_yearly_lookup!$C:$C, MATCH("United States", Pop_yearly_lookup!$A:$A, 0)))</f>
        <v>1.0250937179180255</v>
      </c>
      <c r="G5" s="66">
        <f>'BCDTRtSY-psgr-US'!G2*(INDEX(Pop_yearly_lookup!G:G, MATCH(About!$B$1, Pop_yearly_lookup!$A:$A, 0))/INDEX(Pop_yearly_lookup!$C:$C, MATCH(About!$B$1, Pop_yearly_lookup!$A:$A, 0)))/(INDEX(Pop_yearly_lookup!G:G, MATCH("United States", Pop_yearly_lookup!$A:$A, 0))/INDEX(Pop_yearly_lookup!$C:$C, MATCH("United States", Pop_yearly_lookup!$A:$A, 0)))</f>
        <v>1.0314851835982155</v>
      </c>
      <c r="H5" s="66">
        <f>'BCDTRtSY-psgr-US'!H2*(INDEX(Pop_yearly_lookup!H:H, MATCH(About!$B$1, Pop_yearly_lookup!$A:$A, 0))/INDEX(Pop_yearly_lookup!$C:$C, MATCH(About!$B$1, Pop_yearly_lookup!$A:$A, 0)))/(INDEX(Pop_yearly_lookup!H:H, MATCH("United States", Pop_yearly_lookup!$A:$A, 0))/INDEX(Pop_yearly_lookup!$C:$C, MATCH("United States", Pop_yearly_lookup!$A:$A, 0)))</f>
        <v>1.0371331912658572</v>
      </c>
      <c r="I5" s="66">
        <f>'BCDTRtSY-psgr-US'!I2*(INDEX(Pop_yearly_lookup!I:I, MATCH(About!$B$1, Pop_yearly_lookup!$A:$A, 0))/INDEX(Pop_yearly_lookup!$C:$C, MATCH(About!$B$1, Pop_yearly_lookup!$A:$A, 0)))/(INDEX(Pop_yearly_lookup!I:I, MATCH("United States", Pop_yearly_lookup!$A:$A, 0))/INDEX(Pop_yearly_lookup!$C:$C, MATCH("United States", Pop_yearly_lookup!$A:$A, 0)))</f>
        <v>1.0360847117486272</v>
      </c>
      <c r="J5" s="66">
        <f>'BCDTRtSY-psgr-US'!J2*(INDEX(Pop_yearly_lookup!J:J, MATCH(About!$B$1, Pop_yearly_lookup!$A:$A, 0))/INDEX(Pop_yearly_lookup!$C:$C, MATCH(About!$B$1, Pop_yearly_lookup!$A:$A, 0)))/(INDEX(Pop_yearly_lookup!J:J, MATCH("United States", Pop_yearly_lookup!$A:$A, 0))/INDEX(Pop_yearly_lookup!$C:$C, MATCH("United States", Pop_yearly_lookup!$A:$A, 0)))</f>
        <v>1.0352020312862189</v>
      </c>
      <c r="K5" s="66">
        <f>'BCDTRtSY-psgr-US'!K2*(INDEX(Pop_yearly_lookup!K:K, MATCH(About!$B$1, Pop_yearly_lookup!$A:$A, 0))/INDEX(Pop_yearly_lookup!$C:$C, MATCH(About!$B$1, Pop_yearly_lookup!$A:$A, 0)))/(INDEX(Pop_yearly_lookup!K:K, MATCH("United States", Pop_yearly_lookup!$A:$A, 0))/INDEX(Pop_yearly_lookup!$C:$C, MATCH("United States", Pop_yearly_lookup!$A:$A, 0)))</f>
        <v>1.0329223072524216</v>
      </c>
      <c r="L5" s="66">
        <f>'BCDTRtSY-psgr-US'!L2*(INDEX(Pop_yearly_lookup!L:L, MATCH(About!$B$1, Pop_yearly_lookup!$A:$A, 0))/INDEX(Pop_yearly_lookup!$C:$C, MATCH(About!$B$1, Pop_yearly_lookup!$A:$A, 0)))/(INDEX(Pop_yearly_lookup!L:L, MATCH("United States", Pop_yearly_lookup!$A:$A, 0))/INDEX(Pop_yearly_lookup!$C:$C, MATCH("United States", Pop_yearly_lookup!$A:$A, 0)))</f>
        <v>1.0312498279545086</v>
      </c>
      <c r="M5" s="66">
        <f>'BCDTRtSY-psgr-US'!M2*(INDEX(Pop_yearly_lookup!M:M, MATCH(About!$B$1, Pop_yearly_lookup!$A:$A, 0))/INDEX(Pop_yearly_lookup!$C:$C, MATCH(About!$B$1, Pop_yearly_lookup!$A:$A, 0)))/(INDEX(Pop_yearly_lookup!M:M, MATCH("United States", Pop_yearly_lookup!$A:$A, 0))/INDEX(Pop_yearly_lookup!$C:$C, MATCH("United States", Pop_yearly_lookup!$A:$A, 0)))</f>
        <v>1.0287402177577865</v>
      </c>
      <c r="N5" s="66">
        <f>'BCDTRtSY-psgr-US'!N2*(INDEX(Pop_yearly_lookup!N:N, MATCH(About!$B$1, Pop_yearly_lookup!$A:$A, 0))/INDEX(Pop_yearly_lookup!$C:$C, MATCH(About!$B$1, Pop_yearly_lookup!$A:$A, 0)))/(INDEX(Pop_yearly_lookup!N:N, MATCH("United States", Pop_yearly_lookup!$A:$A, 0))/INDEX(Pop_yearly_lookup!$C:$C, MATCH("United States", Pop_yearly_lookup!$A:$A, 0)))</f>
        <v>1.0269327921213864</v>
      </c>
      <c r="O5" s="66">
        <f>'BCDTRtSY-psgr-US'!O2*(INDEX(Pop_yearly_lookup!O:O, MATCH(About!$B$1, Pop_yearly_lookup!$A:$A, 0))/INDEX(Pop_yearly_lookup!$C:$C, MATCH(About!$B$1, Pop_yearly_lookup!$A:$A, 0)))/(INDEX(Pop_yearly_lookup!O:O, MATCH("United States", Pop_yearly_lookup!$A:$A, 0))/INDEX(Pop_yearly_lookup!$C:$C, MATCH("United States", Pop_yearly_lookup!$A:$A, 0)))</f>
        <v>1.0255586639179344</v>
      </c>
      <c r="P5" s="66">
        <f>'BCDTRtSY-psgr-US'!P2*(INDEX(Pop_yearly_lookup!P:P, MATCH(About!$B$1, Pop_yearly_lookup!$A:$A, 0))/INDEX(Pop_yearly_lookup!$C:$C, MATCH(About!$B$1, Pop_yearly_lookup!$A:$A, 0)))/(INDEX(Pop_yearly_lookup!P:P, MATCH("United States", Pop_yearly_lookup!$A:$A, 0))/INDEX(Pop_yearly_lookup!$C:$C, MATCH("United States", Pop_yearly_lookup!$A:$A, 0)))</f>
        <v>1.0242425728185707</v>
      </c>
      <c r="Q5" s="66">
        <f>'BCDTRtSY-psgr-US'!Q2*(INDEX(Pop_yearly_lookup!Q:Q, MATCH(About!$B$1, Pop_yearly_lookup!$A:$A, 0))/INDEX(Pop_yearly_lookup!$C:$C, MATCH(About!$B$1, Pop_yearly_lookup!$A:$A, 0)))/(INDEX(Pop_yearly_lookup!Q:Q, MATCH("United States", Pop_yearly_lookup!$A:$A, 0))/INDEX(Pop_yearly_lookup!$C:$C, MATCH("United States", Pop_yearly_lookup!$A:$A, 0)))</f>
        <v>1.0223386051155723</v>
      </c>
      <c r="R5" s="66">
        <f>'BCDTRtSY-psgr-US'!R2*(INDEX(Pop_yearly_lookup!R:R, MATCH(About!$B$1, Pop_yearly_lookup!$A:$A, 0))/INDEX(Pop_yearly_lookup!$C:$C, MATCH(About!$B$1, Pop_yearly_lookup!$A:$A, 0)))/(INDEX(Pop_yearly_lookup!R:R, MATCH("United States", Pop_yearly_lookup!$A:$A, 0))/INDEX(Pop_yearly_lookup!$C:$C, MATCH("United States", Pop_yearly_lookup!$A:$A, 0)))</f>
        <v>1.0206375410826669</v>
      </c>
      <c r="S5" s="66">
        <f>'BCDTRtSY-psgr-US'!S2*(INDEX(Pop_yearly_lookup!S:S, MATCH(About!$B$1, Pop_yearly_lookup!$A:$A, 0))/INDEX(Pop_yearly_lookup!$C:$C, MATCH(About!$B$1, Pop_yearly_lookup!$A:$A, 0)))/(INDEX(Pop_yearly_lookup!S:S, MATCH("United States", Pop_yearly_lookup!$A:$A, 0))/INDEX(Pop_yearly_lookup!$C:$C, MATCH("United States", Pop_yearly_lookup!$A:$A, 0)))</f>
        <v>1.0178340919619899</v>
      </c>
      <c r="T5" s="66">
        <f>'BCDTRtSY-psgr-US'!T2*(INDEX(Pop_yearly_lookup!T:T, MATCH(About!$B$1, Pop_yearly_lookup!$A:$A, 0))/INDEX(Pop_yearly_lookup!$C:$C, MATCH(About!$B$1, Pop_yearly_lookup!$A:$A, 0)))/(INDEX(Pop_yearly_lookup!T:T, MATCH("United States", Pop_yearly_lookup!$A:$A, 0))/INDEX(Pop_yearly_lookup!$C:$C, MATCH("United States", Pop_yearly_lookup!$A:$A, 0)))</f>
        <v>1.0149145575314693</v>
      </c>
      <c r="U5" s="66">
        <f>'BCDTRtSY-psgr-US'!U2*(INDEX(Pop_yearly_lookup!U:U, MATCH(About!$B$1, Pop_yearly_lookup!$A:$A, 0))/INDEX(Pop_yearly_lookup!$C:$C, MATCH(About!$B$1, Pop_yearly_lookup!$A:$A, 0)))/(INDEX(Pop_yearly_lookup!U:U, MATCH("United States", Pop_yearly_lookup!$A:$A, 0))/INDEX(Pop_yearly_lookup!$C:$C, MATCH("United States", Pop_yearly_lookup!$A:$A, 0)))</f>
        <v>1.0116727486835853</v>
      </c>
      <c r="V5" s="66">
        <f>'BCDTRtSY-psgr-US'!V2*(INDEX(Pop_yearly_lookup!V:V, MATCH(About!$B$1, Pop_yearly_lookup!$A:$A, 0))/INDEX(Pop_yearly_lookup!$C:$C, MATCH(About!$B$1, Pop_yearly_lookup!$A:$A, 0)))/(INDEX(Pop_yearly_lookup!V:V, MATCH("United States", Pop_yearly_lookup!$A:$A, 0))/INDEX(Pop_yearly_lookup!$C:$C, MATCH("United States", Pop_yearly_lookup!$A:$A, 0)))</f>
        <v>1.0086559424807302</v>
      </c>
      <c r="W5" s="66">
        <f>'BCDTRtSY-psgr-US'!W2*(INDEX(Pop_yearly_lookup!W:W, MATCH(About!$B$1, Pop_yearly_lookup!$A:$A, 0))/INDEX(Pop_yearly_lookup!$C:$C, MATCH(About!$B$1, Pop_yearly_lookup!$A:$A, 0)))/(INDEX(Pop_yearly_lookup!W:W, MATCH("United States", Pop_yearly_lookup!$A:$A, 0))/INDEX(Pop_yearly_lookup!$C:$C, MATCH("United States", Pop_yearly_lookup!$A:$A, 0)))</f>
        <v>1.0054329240040252</v>
      </c>
      <c r="X5" s="66">
        <f>'BCDTRtSY-psgr-US'!X2*(INDEX(Pop_yearly_lookup!X:X, MATCH(About!$B$1, Pop_yearly_lookup!$A:$A, 0))/INDEX(Pop_yearly_lookup!$C:$C, MATCH(About!$B$1, Pop_yearly_lookup!$A:$A, 0)))/(INDEX(Pop_yearly_lookup!X:X, MATCH("United States", Pop_yearly_lookup!$A:$A, 0))/INDEX(Pop_yearly_lookup!$C:$C, MATCH("United States", Pop_yearly_lookup!$A:$A, 0)))</f>
        <v>1.0019604518317435</v>
      </c>
      <c r="Y5" s="66">
        <f>'BCDTRtSY-psgr-US'!Y2*(INDEX(Pop_yearly_lookup!Y:Y, MATCH(About!$B$1, Pop_yearly_lookup!$A:$A, 0))/INDEX(Pop_yearly_lookup!$C:$C, MATCH(About!$B$1, Pop_yearly_lookup!$A:$A, 0)))/(INDEX(Pop_yearly_lookup!Y:Y, MATCH("United States", Pop_yearly_lookup!$A:$A, 0))/INDEX(Pop_yearly_lookup!$C:$C, MATCH("United States", Pop_yearly_lookup!$A:$A, 0)))</f>
        <v>0.99774665278589769</v>
      </c>
      <c r="Z5" s="66">
        <f>'BCDTRtSY-psgr-US'!Z2*(INDEX(Pop_yearly_lookup!Z:Z, MATCH(About!$B$1, Pop_yearly_lookup!$A:$A, 0))/INDEX(Pop_yearly_lookup!$C:$C, MATCH(About!$B$1, Pop_yearly_lookup!$A:$A, 0)))/(INDEX(Pop_yearly_lookup!Z:Z, MATCH("United States", Pop_yearly_lookup!$A:$A, 0))/INDEX(Pop_yearly_lookup!$C:$C, MATCH("United States", Pop_yearly_lookup!$A:$A, 0)))</f>
        <v>0.99366692071828644</v>
      </c>
      <c r="AA5" s="66">
        <f>'BCDTRtSY-psgr-US'!AA2*(INDEX(Pop_yearly_lookup!AA:AA, MATCH(About!$B$1, Pop_yearly_lookup!$A:$A, 0))/INDEX(Pop_yearly_lookup!$C:$C, MATCH(About!$B$1, Pop_yearly_lookup!$A:$A, 0)))/(INDEX(Pop_yearly_lookup!AA:AA, MATCH("United States", Pop_yearly_lookup!$A:$A, 0))/INDEX(Pop_yearly_lookup!$C:$C, MATCH("United States", Pop_yearly_lookup!$A:$A, 0)))</f>
        <v>0.98938039091358554</v>
      </c>
      <c r="AB5" s="66">
        <f>'BCDTRtSY-psgr-US'!AB2*(INDEX(Pop_yearly_lookup!AB:AB, MATCH(About!$B$1, Pop_yearly_lookup!$A:$A, 0))/INDEX(Pop_yearly_lookup!$C:$C, MATCH(About!$B$1, Pop_yearly_lookup!$A:$A, 0)))/(INDEX(Pop_yearly_lookup!AB:AB, MATCH("United States", Pop_yearly_lookup!$A:$A, 0))/INDEX(Pop_yearly_lookup!$C:$C, MATCH("United States", Pop_yearly_lookup!$A:$A, 0)))</f>
        <v>0.98548183451882043</v>
      </c>
    </row>
    <row r="6" spans="1:28">
      <c r="A6" t="s">
        <v>118</v>
      </c>
      <c r="B6" s="66">
        <f>'BCDTRtSY-psgr-US'!B3</f>
        <v>1</v>
      </c>
      <c r="C6" s="66">
        <f>'BCDTRtSY-psgr-US'!C3*(INDEX(Pop_yearly_lookup!C:C, MATCH(About!$B$1, Pop_yearly_lookup!$A:$A, 0))/INDEX(Pop_yearly_lookup!$C:$C, MATCH(About!$B$1, Pop_yearly_lookup!$A:$A, 0)))/(INDEX(Pop_yearly_lookup!C:C, MATCH("United States", Pop_yearly_lookup!$A:$A, 0))/INDEX(Pop_yearly_lookup!$C:$C, MATCH("United States", Pop_yearly_lookup!$A:$A, 0)))</f>
        <v>1</v>
      </c>
      <c r="D6" s="66">
        <f>'BCDTRtSY-psgr-US'!D3*(INDEX(Pop_yearly_lookup!D:D, MATCH(About!$B$1, Pop_yearly_lookup!$A:$A, 0))/INDEX(Pop_yearly_lookup!$C:$C, MATCH(About!$B$1, Pop_yearly_lookup!$A:$A, 0)))/(INDEX(Pop_yearly_lookup!D:D, MATCH("United States", Pop_yearly_lookup!$A:$A, 0))/INDEX(Pop_yearly_lookup!$C:$C, MATCH("United States", Pop_yearly_lookup!$A:$A, 0)))</f>
        <v>1.0202604706678013</v>
      </c>
      <c r="E6" s="66">
        <f>'BCDTRtSY-psgr-US'!E3*(INDEX(Pop_yearly_lookup!E:E, MATCH(About!$B$1, Pop_yearly_lookup!$A:$A, 0))/INDEX(Pop_yearly_lookup!$C:$C, MATCH(About!$B$1, Pop_yearly_lookup!$A:$A, 0)))/(INDEX(Pop_yearly_lookup!E:E, MATCH("United States", Pop_yearly_lookup!$A:$A, 0))/INDEX(Pop_yearly_lookup!$C:$C, MATCH("United States", Pop_yearly_lookup!$A:$A, 0)))</f>
        <v>1.0347669047688501</v>
      </c>
      <c r="F6" s="66">
        <f>'BCDTRtSY-psgr-US'!F3*(INDEX(Pop_yearly_lookup!F:F, MATCH(About!$B$1, Pop_yearly_lookup!$A:$A, 0))/INDEX(Pop_yearly_lookup!$C:$C, MATCH(About!$B$1, Pop_yearly_lookup!$A:$A, 0)))/(INDEX(Pop_yearly_lookup!F:F, MATCH("United States", Pop_yearly_lookup!$A:$A, 0))/INDEX(Pop_yearly_lookup!$C:$C, MATCH("United States", Pop_yearly_lookup!$A:$A, 0)))</f>
        <v>1.0458256345950938</v>
      </c>
      <c r="G6" s="66">
        <f>'BCDTRtSY-psgr-US'!G3*(INDEX(Pop_yearly_lookup!G:G, MATCH(About!$B$1, Pop_yearly_lookup!$A:$A, 0))/INDEX(Pop_yearly_lookup!$C:$C, MATCH(About!$B$1, Pop_yearly_lookup!$A:$A, 0)))/(INDEX(Pop_yearly_lookup!G:G, MATCH("United States", Pop_yearly_lookup!$A:$A, 0))/INDEX(Pop_yearly_lookup!$C:$C, MATCH("United States", Pop_yearly_lookup!$A:$A, 0)))</f>
        <v>1.0556851376475751</v>
      </c>
      <c r="H6" s="66">
        <f>'BCDTRtSY-psgr-US'!H3*(INDEX(Pop_yearly_lookup!H:H, MATCH(About!$B$1, Pop_yearly_lookup!$A:$A, 0))/INDEX(Pop_yearly_lookup!$C:$C, MATCH(About!$B$1, Pop_yearly_lookup!$A:$A, 0)))/(INDEX(Pop_yearly_lookup!H:H, MATCH("United States", Pop_yearly_lookup!$A:$A, 0))/INDEX(Pop_yearly_lookup!$C:$C, MATCH("United States", Pop_yearly_lookup!$A:$A, 0)))</f>
        <v>1.0641417823411714</v>
      </c>
      <c r="I6" s="66">
        <f>'BCDTRtSY-psgr-US'!I3*(INDEX(Pop_yearly_lookup!I:I, MATCH(About!$B$1, Pop_yearly_lookup!$A:$A, 0))/INDEX(Pop_yearly_lookup!$C:$C, MATCH(About!$B$1, Pop_yearly_lookup!$A:$A, 0)))/(INDEX(Pop_yearly_lookup!I:I, MATCH("United States", Pop_yearly_lookup!$A:$A, 0))/INDEX(Pop_yearly_lookup!$C:$C, MATCH("United States", Pop_yearly_lookup!$A:$A, 0)))</f>
        <v>1.0646795512768565</v>
      </c>
      <c r="J6" s="66">
        <f>'BCDTRtSY-psgr-US'!J3*(INDEX(Pop_yearly_lookup!J:J, MATCH(About!$B$1, Pop_yearly_lookup!$A:$A, 0))/INDEX(Pop_yearly_lookup!$C:$C, MATCH(About!$B$1, Pop_yearly_lookup!$A:$A, 0)))/(INDEX(Pop_yearly_lookup!J:J, MATCH("United States", Pop_yearly_lookup!$A:$A, 0))/INDEX(Pop_yearly_lookup!$C:$C, MATCH("United States", Pop_yearly_lookup!$A:$A, 0)))</f>
        <v>1.0647868405246816</v>
      </c>
      <c r="K6" s="66">
        <f>'BCDTRtSY-psgr-US'!K3*(INDEX(Pop_yearly_lookup!K:K, MATCH(About!$B$1, Pop_yearly_lookup!$A:$A, 0))/INDEX(Pop_yearly_lookup!$C:$C, MATCH(About!$B$1, Pop_yearly_lookup!$A:$A, 0)))/(INDEX(Pop_yearly_lookup!K:K, MATCH("United States", Pop_yearly_lookup!$A:$A, 0))/INDEX(Pop_yearly_lookup!$C:$C, MATCH("United States", Pop_yearly_lookup!$A:$A, 0)))</f>
        <v>1.0653718575953592</v>
      </c>
      <c r="L6" s="66">
        <f>'BCDTRtSY-psgr-US'!L3*(INDEX(Pop_yearly_lookup!L:L, MATCH(About!$B$1, Pop_yearly_lookup!$A:$A, 0))/INDEX(Pop_yearly_lookup!$C:$C, MATCH(About!$B$1, Pop_yearly_lookup!$A:$A, 0)))/(INDEX(Pop_yearly_lookup!L:L, MATCH("United States", Pop_yearly_lookup!$A:$A, 0))/INDEX(Pop_yearly_lookup!$C:$C, MATCH("United States", Pop_yearly_lookup!$A:$A, 0)))</f>
        <v>1.0654828510786223</v>
      </c>
      <c r="M6" s="66">
        <f>'BCDTRtSY-psgr-US'!M3*(INDEX(Pop_yearly_lookup!M:M, MATCH(About!$B$1, Pop_yearly_lookup!$A:$A, 0))/INDEX(Pop_yearly_lookup!$C:$C, MATCH(About!$B$1, Pop_yearly_lookup!$A:$A, 0)))/(INDEX(Pop_yearly_lookup!M:M, MATCH("United States", Pop_yearly_lookup!$A:$A, 0))/INDEX(Pop_yearly_lookup!$C:$C, MATCH("United States", Pop_yearly_lookup!$A:$A, 0)))</f>
        <v>1.0659099647022667</v>
      </c>
      <c r="N6" s="66">
        <f>'BCDTRtSY-psgr-US'!N3*(INDEX(Pop_yearly_lookup!N:N, MATCH(About!$B$1, Pop_yearly_lookup!$A:$A, 0))/INDEX(Pop_yearly_lookup!$C:$C, MATCH(About!$B$1, Pop_yearly_lookup!$A:$A, 0)))/(INDEX(Pop_yearly_lookup!N:N, MATCH("United States", Pop_yearly_lookup!$A:$A, 0))/INDEX(Pop_yearly_lookup!$C:$C, MATCH("United States", Pop_yearly_lookup!$A:$A, 0)))</f>
        <v>1.0655591159798463</v>
      </c>
      <c r="O6" s="66">
        <f>'BCDTRtSY-psgr-US'!O3*(INDEX(Pop_yearly_lookup!O:O, MATCH(About!$B$1, Pop_yearly_lookup!$A:$A, 0))/INDEX(Pop_yearly_lookup!$C:$C, MATCH(About!$B$1, Pop_yearly_lookup!$A:$A, 0)))/(INDEX(Pop_yearly_lookup!O:O, MATCH("United States", Pop_yearly_lookup!$A:$A, 0))/INDEX(Pop_yearly_lookup!$C:$C, MATCH("United States", Pop_yearly_lookup!$A:$A, 0)))</f>
        <v>1.0653348695067733</v>
      </c>
      <c r="P6" s="66">
        <f>'BCDTRtSY-psgr-US'!P3*(INDEX(Pop_yearly_lookup!P:P, MATCH(About!$B$1, Pop_yearly_lookup!$A:$A, 0))/INDEX(Pop_yearly_lookup!$C:$C, MATCH(About!$B$1, Pop_yearly_lookup!$A:$A, 0)))/(INDEX(Pop_yearly_lookup!P:P, MATCH("United States", Pop_yearly_lookup!$A:$A, 0))/INDEX(Pop_yearly_lookup!$C:$C, MATCH("United States", Pop_yearly_lookup!$A:$A, 0)))</f>
        <v>1.0646177414401992</v>
      </c>
      <c r="Q6" s="66">
        <f>'BCDTRtSY-psgr-US'!Q3*(INDEX(Pop_yearly_lookup!Q:Q, MATCH(About!$B$1, Pop_yearly_lookup!$A:$A, 0))/INDEX(Pop_yearly_lookup!$C:$C, MATCH(About!$B$1, Pop_yearly_lookup!$A:$A, 0)))/(INDEX(Pop_yearly_lookup!Q:Q, MATCH("United States", Pop_yearly_lookup!$A:$A, 0))/INDEX(Pop_yearly_lookup!$C:$C, MATCH("United States", Pop_yearly_lookup!$A:$A, 0)))</f>
        <v>1.0638799745747671</v>
      </c>
      <c r="R6" s="66">
        <f>'BCDTRtSY-psgr-US'!R3*(INDEX(Pop_yearly_lookup!R:R, MATCH(About!$B$1, Pop_yearly_lookup!$A:$A, 0))/INDEX(Pop_yearly_lookup!$C:$C, MATCH(About!$B$1, Pop_yearly_lookup!$A:$A, 0)))/(INDEX(Pop_yearly_lookup!R:R, MATCH("United States", Pop_yearly_lookup!$A:$A, 0))/INDEX(Pop_yearly_lookup!$C:$C, MATCH("United States", Pop_yearly_lookup!$A:$A, 0)))</f>
        <v>1.0630913391706835</v>
      </c>
      <c r="S6" s="66">
        <f>'BCDTRtSY-psgr-US'!S3*(INDEX(Pop_yearly_lookup!S:S, MATCH(About!$B$1, Pop_yearly_lookup!$A:$A, 0))/INDEX(Pop_yearly_lookup!$C:$C, MATCH(About!$B$1, Pop_yearly_lookup!$A:$A, 0)))/(INDEX(Pop_yearly_lookup!S:S, MATCH("United States", Pop_yearly_lookup!$A:$A, 0))/INDEX(Pop_yearly_lookup!$C:$C, MATCH("United States", Pop_yearly_lookup!$A:$A, 0)))</f>
        <v>1.0612650062535751</v>
      </c>
      <c r="T6" s="66">
        <f>'BCDTRtSY-psgr-US'!T3*(INDEX(Pop_yearly_lookup!T:T, MATCH(About!$B$1, Pop_yearly_lookup!$A:$A, 0))/INDEX(Pop_yearly_lookup!$C:$C, MATCH(About!$B$1, Pop_yearly_lookup!$A:$A, 0)))/(INDEX(Pop_yearly_lookup!T:T, MATCH("United States", Pop_yearly_lookup!$A:$A, 0))/INDEX(Pop_yearly_lookup!$C:$C, MATCH("United States", Pop_yearly_lookup!$A:$A, 0)))</f>
        <v>1.0593905776281154</v>
      </c>
      <c r="U6" s="66">
        <f>'BCDTRtSY-psgr-US'!U3*(INDEX(Pop_yearly_lookup!U:U, MATCH(About!$B$1, Pop_yearly_lookup!$A:$A, 0))/INDEX(Pop_yearly_lookup!$C:$C, MATCH(About!$B$1, Pop_yearly_lookup!$A:$A, 0)))/(INDEX(Pop_yearly_lookup!U:U, MATCH("United States", Pop_yearly_lookup!$A:$A, 0))/INDEX(Pop_yearly_lookup!$C:$C, MATCH("United States", Pop_yearly_lookup!$A:$A, 0)))</f>
        <v>1.0571932586778614</v>
      </c>
      <c r="V6" s="66">
        <f>'BCDTRtSY-psgr-US'!V3*(INDEX(Pop_yearly_lookup!V:V, MATCH(About!$B$1, Pop_yearly_lookup!$A:$A, 0))/INDEX(Pop_yearly_lookup!$C:$C, MATCH(About!$B$1, Pop_yearly_lookup!$A:$A, 0)))/(INDEX(Pop_yearly_lookup!V:V, MATCH("United States", Pop_yearly_lookup!$A:$A, 0))/INDEX(Pop_yearly_lookup!$C:$C, MATCH("United States", Pop_yearly_lookup!$A:$A, 0)))</f>
        <v>1.0548811929242941</v>
      </c>
      <c r="W6" s="66">
        <f>'BCDTRtSY-psgr-US'!W3*(INDEX(Pop_yearly_lookup!W:W, MATCH(About!$B$1, Pop_yearly_lookup!$A:$A, 0))/INDEX(Pop_yearly_lookup!$C:$C, MATCH(About!$B$1, Pop_yearly_lookup!$A:$A, 0)))/(INDEX(Pop_yearly_lookup!W:W, MATCH("United States", Pop_yearly_lookup!$A:$A, 0))/INDEX(Pop_yearly_lookup!$C:$C, MATCH("United States", Pop_yearly_lookup!$A:$A, 0)))</f>
        <v>1.0524626885403303</v>
      </c>
      <c r="X6" s="66">
        <f>'BCDTRtSY-psgr-US'!X3*(INDEX(Pop_yearly_lookup!X:X, MATCH(About!$B$1, Pop_yearly_lookup!$A:$A, 0))/INDEX(Pop_yearly_lookup!$C:$C, MATCH(About!$B$1, Pop_yearly_lookup!$A:$A, 0)))/(INDEX(Pop_yearly_lookup!X:X, MATCH("United States", Pop_yearly_lookup!$A:$A, 0))/INDEX(Pop_yearly_lookup!$C:$C, MATCH("United States", Pop_yearly_lookup!$A:$A, 0)))</f>
        <v>1.0496791660493894</v>
      </c>
      <c r="Y6" s="66">
        <f>'BCDTRtSY-psgr-US'!Y3*(INDEX(Pop_yearly_lookup!Y:Y, MATCH(About!$B$1, Pop_yearly_lookup!$A:$A, 0))/INDEX(Pop_yearly_lookup!$C:$C, MATCH(About!$B$1, Pop_yearly_lookup!$A:$A, 0)))/(INDEX(Pop_yearly_lookup!Y:Y, MATCH("United States", Pop_yearly_lookup!$A:$A, 0))/INDEX(Pop_yearly_lookup!$C:$C, MATCH("United States", Pop_yearly_lookup!$A:$A, 0)))</f>
        <v>1.0467923296448605</v>
      </c>
      <c r="Z6" s="66">
        <f>'BCDTRtSY-psgr-US'!Z3*(INDEX(Pop_yearly_lookup!Z:Z, MATCH(About!$B$1, Pop_yearly_lookup!$A:$A, 0))/INDEX(Pop_yearly_lookup!$C:$C, MATCH(About!$B$1, Pop_yearly_lookup!$A:$A, 0)))/(INDEX(Pop_yearly_lookup!Z:Z, MATCH("United States", Pop_yearly_lookup!$A:$A, 0))/INDEX(Pop_yearly_lookup!$C:$C, MATCH("United States", Pop_yearly_lookup!$A:$A, 0)))</f>
        <v>1.0435522853741592</v>
      </c>
      <c r="AA6" s="66">
        <f>'BCDTRtSY-psgr-US'!AA3*(INDEX(Pop_yearly_lookup!AA:AA, MATCH(About!$B$1, Pop_yearly_lookup!$A:$A, 0))/INDEX(Pop_yearly_lookup!$C:$C, MATCH(About!$B$1, Pop_yearly_lookup!$A:$A, 0)))/(INDEX(Pop_yearly_lookup!AA:AA, MATCH("United States", Pop_yearly_lookup!$A:$A, 0))/INDEX(Pop_yearly_lookup!$C:$C, MATCH("United States", Pop_yearly_lookup!$A:$A, 0)))</f>
        <v>1.0401540398277287</v>
      </c>
      <c r="AB6" s="66">
        <f>'BCDTRtSY-psgr-US'!AB3*(INDEX(Pop_yearly_lookup!AB:AB, MATCH(About!$B$1, Pop_yearly_lookup!$A:$A, 0))/INDEX(Pop_yearly_lookup!$C:$C, MATCH(About!$B$1, Pop_yearly_lookup!$A:$A, 0)))/(INDEX(Pop_yearly_lookup!AB:AB, MATCH("United States", Pop_yearly_lookup!$A:$A, 0))/INDEX(Pop_yearly_lookup!$C:$C, MATCH("United States", Pop_yearly_lookup!$A:$A, 0)))</f>
        <v>1.0366972587095431</v>
      </c>
    </row>
    <row r="7" spans="1:28">
      <c r="A7" t="s">
        <v>116</v>
      </c>
      <c r="B7" s="66">
        <f>'BCDTRtSY-psgr-US'!B4</f>
        <v>1</v>
      </c>
      <c r="C7" s="66">
        <f>'BCDTRtSY-psgr-US'!C4*(INDEX(Pop_yearly_lookup!C:C, MATCH(About!$B$1, Pop_yearly_lookup!$A:$A, 0))/INDEX(Pop_yearly_lookup!$C:$C, MATCH(About!$B$1, Pop_yearly_lookup!$A:$A, 0)))/(INDEX(Pop_yearly_lookup!C:C, MATCH("United States", Pop_yearly_lookup!$A:$A, 0))/INDEX(Pop_yearly_lookup!$C:$C, MATCH("United States", Pop_yearly_lookup!$A:$A, 0)))</f>
        <v>1</v>
      </c>
      <c r="D7" s="66">
        <f>'BCDTRtSY-psgr-US'!D4*(INDEX(Pop_yearly_lookup!D:D, MATCH(About!$B$1, Pop_yearly_lookup!$A:$A, 0))/INDEX(Pop_yearly_lookup!$C:$C, MATCH(About!$B$1, Pop_yearly_lookup!$A:$A, 0)))/(INDEX(Pop_yearly_lookup!D:D, MATCH("United States", Pop_yearly_lookup!$A:$A, 0))/INDEX(Pop_yearly_lookup!$C:$C, MATCH("United States", Pop_yearly_lookup!$A:$A, 0)))</f>
        <v>1.0337089134340476</v>
      </c>
      <c r="E7" s="66">
        <f>'BCDTRtSY-psgr-US'!E4*(INDEX(Pop_yearly_lookup!E:E, MATCH(About!$B$1, Pop_yearly_lookup!$A:$A, 0))/INDEX(Pop_yearly_lookup!$C:$C, MATCH(About!$B$1, Pop_yearly_lookup!$A:$A, 0)))/(INDEX(Pop_yearly_lookup!E:E, MATCH("United States", Pop_yearly_lookup!$A:$A, 0))/INDEX(Pop_yearly_lookup!$C:$C, MATCH("United States", Pop_yearly_lookup!$A:$A, 0)))</f>
        <v>1.0549086051290626</v>
      </c>
      <c r="F7" s="66">
        <f>'BCDTRtSY-psgr-US'!F4*(INDEX(Pop_yearly_lookup!F:F, MATCH(About!$B$1, Pop_yearly_lookup!$A:$A, 0))/INDEX(Pop_yearly_lookup!$C:$C, MATCH(About!$B$1, Pop_yearly_lookup!$A:$A, 0)))/(INDEX(Pop_yearly_lookup!F:F, MATCH("United States", Pop_yearly_lookup!$A:$A, 0))/INDEX(Pop_yearly_lookup!$C:$C, MATCH("United States", Pop_yearly_lookup!$A:$A, 0)))</f>
        <v>1.065328008906032</v>
      </c>
      <c r="G7" s="66">
        <f>'BCDTRtSY-psgr-US'!G4*(INDEX(Pop_yearly_lookup!G:G, MATCH(About!$B$1, Pop_yearly_lookup!$A:$A, 0))/INDEX(Pop_yearly_lookup!$C:$C, MATCH(About!$B$1, Pop_yearly_lookup!$A:$A, 0)))/(INDEX(Pop_yearly_lookup!G:G, MATCH("United States", Pop_yearly_lookup!$A:$A, 0))/INDEX(Pop_yearly_lookup!$C:$C, MATCH("United States", Pop_yearly_lookup!$A:$A, 0)))</f>
        <v>1.0806415171356978</v>
      </c>
      <c r="H7" s="66">
        <f>'BCDTRtSY-psgr-US'!H4*(INDEX(Pop_yearly_lookup!H:H, MATCH(About!$B$1, Pop_yearly_lookup!$A:$A, 0))/INDEX(Pop_yearly_lookup!$C:$C, MATCH(About!$B$1, Pop_yearly_lookup!$A:$A, 0)))/(INDEX(Pop_yearly_lookup!H:H, MATCH("United States", Pop_yearly_lookup!$A:$A, 0))/INDEX(Pop_yearly_lookup!$C:$C, MATCH("United States", Pop_yearly_lookup!$A:$A, 0)))</f>
        <v>1.1001883956853262</v>
      </c>
      <c r="I7" s="66">
        <f>'BCDTRtSY-psgr-US'!I4*(INDEX(Pop_yearly_lookup!I:I, MATCH(About!$B$1, Pop_yearly_lookup!$A:$A, 0))/INDEX(Pop_yearly_lookup!$C:$C, MATCH(About!$B$1, Pop_yearly_lookup!$A:$A, 0)))/(INDEX(Pop_yearly_lookup!I:I, MATCH("United States", Pop_yearly_lookup!$A:$A, 0))/INDEX(Pop_yearly_lookup!$C:$C, MATCH("United States", Pop_yearly_lookup!$A:$A, 0)))</f>
        <v>1.1122835520888603</v>
      </c>
      <c r="J7" s="66">
        <f>'BCDTRtSY-psgr-US'!J4*(INDEX(Pop_yearly_lookup!J:J, MATCH(About!$B$1, Pop_yearly_lookup!$A:$A, 0))/INDEX(Pop_yearly_lookup!$C:$C, MATCH(About!$B$1, Pop_yearly_lookup!$A:$A, 0)))/(INDEX(Pop_yearly_lookup!J:J, MATCH("United States", Pop_yearly_lookup!$A:$A, 0))/INDEX(Pop_yearly_lookup!$C:$C, MATCH("United States", Pop_yearly_lookup!$A:$A, 0)))</f>
        <v>1.1286872299673423</v>
      </c>
      <c r="K7" s="66">
        <f>'BCDTRtSY-psgr-US'!K4*(INDEX(Pop_yearly_lookup!K:K, MATCH(About!$B$1, Pop_yearly_lookup!$A:$A, 0))/INDEX(Pop_yearly_lookup!$C:$C, MATCH(About!$B$1, Pop_yearly_lookup!$A:$A, 0)))/(INDEX(Pop_yearly_lookup!K:K, MATCH("United States", Pop_yearly_lookup!$A:$A, 0))/INDEX(Pop_yearly_lookup!$C:$C, MATCH("United States", Pop_yearly_lookup!$A:$A, 0)))</f>
        <v>1.1468740470421042</v>
      </c>
      <c r="L7" s="66">
        <f>'BCDTRtSY-psgr-US'!L4*(INDEX(Pop_yearly_lookup!L:L, MATCH(About!$B$1, Pop_yearly_lookup!$A:$A, 0))/INDEX(Pop_yearly_lookup!$C:$C, MATCH(About!$B$1, Pop_yearly_lookup!$A:$A, 0)))/(INDEX(Pop_yearly_lookup!L:L, MATCH("United States", Pop_yearly_lookup!$A:$A, 0))/INDEX(Pop_yearly_lookup!$C:$C, MATCH("United States", Pop_yearly_lookup!$A:$A, 0)))</f>
        <v>1.1672871286146418</v>
      </c>
      <c r="M7" s="66">
        <f>'BCDTRtSY-psgr-US'!M4*(INDEX(Pop_yearly_lookup!M:M, MATCH(About!$B$1, Pop_yearly_lookup!$A:$A, 0))/INDEX(Pop_yearly_lookup!$C:$C, MATCH(About!$B$1, Pop_yearly_lookup!$A:$A, 0)))/(INDEX(Pop_yearly_lookup!M:M, MATCH("United States", Pop_yearly_lookup!$A:$A, 0))/INDEX(Pop_yearly_lookup!$C:$C, MATCH("United States", Pop_yearly_lookup!$A:$A, 0)))</f>
        <v>1.1900991200597022</v>
      </c>
      <c r="N7" s="66">
        <f>'BCDTRtSY-psgr-US'!N4*(INDEX(Pop_yearly_lookup!N:N, MATCH(About!$B$1, Pop_yearly_lookup!$A:$A, 0))/INDEX(Pop_yearly_lookup!$C:$C, MATCH(About!$B$1, Pop_yearly_lookup!$A:$A, 0)))/(INDEX(Pop_yearly_lookup!N:N, MATCH("United States", Pop_yearly_lookup!$A:$A, 0))/INDEX(Pop_yearly_lookup!$C:$C, MATCH("United States", Pop_yearly_lookup!$A:$A, 0)))</f>
        <v>1.205884867472367</v>
      </c>
      <c r="O7" s="66">
        <f>'BCDTRtSY-psgr-US'!O4*(INDEX(Pop_yearly_lookup!O:O, MATCH(About!$B$1, Pop_yearly_lookup!$A:$A, 0))/INDEX(Pop_yearly_lookup!$C:$C, MATCH(About!$B$1, Pop_yearly_lookup!$A:$A, 0)))/(INDEX(Pop_yearly_lookup!O:O, MATCH("United States", Pop_yearly_lookup!$A:$A, 0))/INDEX(Pop_yearly_lookup!$C:$C, MATCH("United States", Pop_yearly_lookup!$A:$A, 0)))</f>
        <v>1.2216408213878591</v>
      </c>
      <c r="P7" s="66">
        <f>'BCDTRtSY-psgr-US'!P4*(INDEX(Pop_yearly_lookup!P:P, MATCH(About!$B$1, Pop_yearly_lookup!$A:$A, 0))/INDEX(Pop_yearly_lookup!$C:$C, MATCH(About!$B$1, Pop_yearly_lookup!$A:$A, 0)))/(INDEX(Pop_yearly_lookup!P:P, MATCH("United States", Pop_yearly_lookup!$A:$A, 0))/INDEX(Pop_yearly_lookup!$C:$C, MATCH("United States", Pop_yearly_lookup!$A:$A, 0)))</f>
        <v>1.2370494154736005</v>
      </c>
      <c r="Q7" s="66">
        <f>'BCDTRtSY-psgr-US'!Q4*(INDEX(Pop_yearly_lookup!Q:Q, MATCH(About!$B$1, Pop_yearly_lookup!$A:$A, 0))/INDEX(Pop_yearly_lookup!$C:$C, MATCH(About!$B$1, Pop_yearly_lookup!$A:$A, 0)))/(INDEX(Pop_yearly_lookup!Q:Q, MATCH("United States", Pop_yearly_lookup!$A:$A, 0))/INDEX(Pop_yearly_lookup!$C:$C, MATCH("United States", Pop_yearly_lookup!$A:$A, 0)))</f>
        <v>1.2513868960247958</v>
      </c>
      <c r="R7" s="66">
        <f>'BCDTRtSY-psgr-US'!R4*(INDEX(Pop_yearly_lookup!R:R, MATCH(About!$B$1, Pop_yearly_lookup!$A:$A, 0))/INDEX(Pop_yearly_lookup!$C:$C, MATCH(About!$B$1, Pop_yearly_lookup!$A:$A, 0)))/(INDEX(Pop_yearly_lookup!R:R, MATCH("United States", Pop_yearly_lookup!$A:$A, 0))/INDEX(Pop_yearly_lookup!$C:$C, MATCH("United States", Pop_yearly_lookup!$A:$A, 0)))</f>
        <v>1.2660699037355925</v>
      </c>
      <c r="S7" s="66">
        <f>'BCDTRtSY-psgr-US'!S4*(INDEX(Pop_yearly_lookup!S:S, MATCH(About!$B$1, Pop_yearly_lookup!$A:$A, 0))/INDEX(Pop_yearly_lookup!$C:$C, MATCH(About!$B$1, Pop_yearly_lookup!$A:$A, 0)))/(INDEX(Pop_yearly_lookup!S:S, MATCH("United States", Pop_yearly_lookup!$A:$A, 0))/INDEX(Pop_yearly_lookup!$C:$C, MATCH("United States", Pop_yearly_lookup!$A:$A, 0)))</f>
        <v>1.2789579361615988</v>
      </c>
      <c r="T7" s="66">
        <f>'BCDTRtSY-psgr-US'!T4*(INDEX(Pop_yearly_lookup!T:T, MATCH(About!$B$1, Pop_yearly_lookup!$A:$A, 0))/INDEX(Pop_yearly_lookup!$C:$C, MATCH(About!$B$1, Pop_yearly_lookup!$A:$A, 0)))/(INDEX(Pop_yearly_lookup!T:T, MATCH("United States", Pop_yearly_lookup!$A:$A, 0))/INDEX(Pop_yearly_lookup!$C:$C, MATCH("United States", Pop_yearly_lookup!$A:$A, 0)))</f>
        <v>1.2927947091206233</v>
      </c>
      <c r="U7" s="66">
        <f>'BCDTRtSY-psgr-US'!U4*(INDEX(Pop_yearly_lookup!U:U, MATCH(About!$B$1, Pop_yearly_lookup!$A:$A, 0))/INDEX(Pop_yearly_lookup!$C:$C, MATCH(About!$B$1, Pop_yearly_lookup!$A:$A, 0)))/(INDEX(Pop_yearly_lookup!U:U, MATCH("United States", Pop_yearly_lookup!$A:$A, 0))/INDEX(Pop_yearly_lookup!$C:$C, MATCH("United States", Pop_yearly_lookup!$A:$A, 0)))</f>
        <v>1.3078032200687439</v>
      </c>
      <c r="V7" s="66">
        <f>'BCDTRtSY-psgr-US'!V4*(INDEX(Pop_yearly_lookup!V:V, MATCH(About!$B$1, Pop_yearly_lookup!$A:$A, 0))/INDEX(Pop_yearly_lookup!$C:$C, MATCH(About!$B$1, Pop_yearly_lookup!$A:$A, 0)))/(INDEX(Pop_yearly_lookup!V:V, MATCH("United States", Pop_yearly_lookup!$A:$A, 0))/INDEX(Pop_yearly_lookup!$C:$C, MATCH("United States", Pop_yearly_lookup!$A:$A, 0)))</f>
        <v>1.3226123969649568</v>
      </c>
      <c r="W7" s="66">
        <f>'BCDTRtSY-psgr-US'!W4*(INDEX(Pop_yearly_lookup!W:W, MATCH(About!$B$1, Pop_yearly_lookup!$A:$A, 0))/INDEX(Pop_yearly_lookup!$C:$C, MATCH(About!$B$1, Pop_yearly_lookup!$A:$A, 0)))/(INDEX(Pop_yearly_lookup!W:W, MATCH("United States", Pop_yearly_lookup!$A:$A, 0))/INDEX(Pop_yearly_lookup!$C:$C, MATCH("United States", Pop_yearly_lookup!$A:$A, 0)))</f>
        <v>1.3374290881405932</v>
      </c>
      <c r="X7" s="66">
        <f>'BCDTRtSY-psgr-US'!X4*(INDEX(Pop_yearly_lookup!X:X, MATCH(About!$B$1, Pop_yearly_lookup!$A:$A, 0))/INDEX(Pop_yearly_lookup!$C:$C, MATCH(About!$B$1, Pop_yearly_lookup!$A:$A, 0)))/(INDEX(Pop_yearly_lookup!X:X, MATCH("United States", Pop_yearly_lookup!$A:$A, 0))/INDEX(Pop_yearly_lookup!$C:$C, MATCH("United States", Pop_yearly_lookup!$A:$A, 0)))</f>
        <v>1.3511551040279595</v>
      </c>
      <c r="Y7" s="66">
        <f>'BCDTRtSY-psgr-US'!Y4*(INDEX(Pop_yearly_lookup!Y:Y, MATCH(About!$B$1, Pop_yearly_lookup!$A:$A, 0))/INDEX(Pop_yearly_lookup!$C:$C, MATCH(About!$B$1, Pop_yearly_lookup!$A:$A, 0)))/(INDEX(Pop_yearly_lookup!Y:Y, MATCH("United States", Pop_yearly_lookup!$A:$A, 0))/INDEX(Pop_yearly_lookup!$C:$C, MATCH("United States", Pop_yearly_lookup!$A:$A, 0)))</f>
        <v>1.362895026326824</v>
      </c>
      <c r="Z7" s="66">
        <f>'BCDTRtSY-psgr-US'!Z4*(INDEX(Pop_yearly_lookup!Z:Z, MATCH(About!$B$1, Pop_yearly_lookup!$A:$A, 0))/INDEX(Pop_yearly_lookup!$C:$C, MATCH(About!$B$1, Pop_yearly_lookup!$A:$A, 0)))/(INDEX(Pop_yearly_lookup!Z:Z, MATCH("United States", Pop_yearly_lookup!$A:$A, 0))/INDEX(Pop_yearly_lookup!$C:$C, MATCH("United States", Pop_yearly_lookup!$A:$A, 0)))</f>
        <v>1.3747075637587192</v>
      </c>
      <c r="AA7" s="66">
        <f>'BCDTRtSY-psgr-US'!AA4*(INDEX(Pop_yearly_lookup!AA:AA, MATCH(About!$B$1, Pop_yearly_lookup!$A:$A, 0))/INDEX(Pop_yearly_lookup!$C:$C, MATCH(About!$B$1, Pop_yearly_lookup!$A:$A, 0)))/(INDEX(Pop_yearly_lookup!AA:AA, MATCH("United States", Pop_yearly_lookup!$A:$A, 0))/INDEX(Pop_yearly_lookup!$C:$C, MATCH("United States", Pop_yearly_lookup!$A:$A, 0)))</f>
        <v>1.3854145498207688</v>
      </c>
      <c r="AB7" s="66">
        <f>'BCDTRtSY-psgr-US'!AB4*(INDEX(Pop_yearly_lookup!AB:AB, MATCH(About!$B$1, Pop_yearly_lookup!$A:$A, 0))/INDEX(Pop_yearly_lookup!$C:$C, MATCH(About!$B$1, Pop_yearly_lookup!$A:$A, 0)))/(INDEX(Pop_yearly_lookup!AB:AB, MATCH("United States", Pop_yearly_lookup!$A:$A, 0))/INDEX(Pop_yearly_lookup!$C:$C, MATCH("United States", Pop_yearly_lookup!$A:$A, 0)))</f>
        <v>1.3964916472372757</v>
      </c>
    </row>
    <row r="8" spans="1:28">
      <c r="A8" t="s">
        <v>121</v>
      </c>
      <c r="B8" s="66">
        <f>'BCDTRtSY-psgr-US'!B5</f>
        <v>1</v>
      </c>
      <c r="C8" s="66">
        <f>'BCDTRtSY-psgr-US'!C5*(INDEX(Pop_yearly_lookup!C:C, MATCH(About!$B$1, Pop_yearly_lookup!$A:$A, 0))/INDEX(Pop_yearly_lookup!$C:$C, MATCH(About!$B$1, Pop_yearly_lookup!$A:$A, 0)))/(INDEX(Pop_yearly_lookup!C:C, MATCH("United States", Pop_yearly_lookup!$A:$A, 0))/INDEX(Pop_yearly_lookup!$C:$C, MATCH("United States", Pop_yearly_lookup!$A:$A, 0)))</f>
        <v>1</v>
      </c>
      <c r="D8" s="66">
        <f>'BCDTRtSY-psgr-US'!D5*(INDEX(Pop_yearly_lookup!D:D, MATCH(About!$B$1, Pop_yearly_lookup!$A:$A, 0))/INDEX(Pop_yearly_lookup!$C:$C, MATCH(About!$B$1, Pop_yearly_lookup!$A:$A, 0)))/(INDEX(Pop_yearly_lookup!D:D, MATCH("United States", Pop_yearly_lookup!$A:$A, 0))/INDEX(Pop_yearly_lookup!$C:$C, MATCH("United States", Pop_yearly_lookup!$A:$A, 0)))</f>
        <v>1.0661435895022042</v>
      </c>
      <c r="E8" s="66">
        <f>'BCDTRtSY-psgr-US'!E5*(INDEX(Pop_yearly_lookup!E:E, MATCH(About!$B$1, Pop_yearly_lookup!$A:$A, 0))/INDEX(Pop_yearly_lookup!$C:$C, MATCH(About!$B$1, Pop_yearly_lookup!$A:$A, 0)))/(INDEX(Pop_yearly_lookup!E:E, MATCH("United States", Pop_yearly_lookup!$A:$A, 0))/INDEX(Pop_yearly_lookup!$C:$C, MATCH("United States", Pop_yearly_lookup!$A:$A, 0)))</f>
        <v>1.1161291433592055</v>
      </c>
      <c r="F8" s="66">
        <f>'BCDTRtSY-psgr-US'!F5*(INDEX(Pop_yearly_lookup!F:F, MATCH(About!$B$1, Pop_yearly_lookup!$A:$A, 0))/INDEX(Pop_yearly_lookup!$C:$C, MATCH(About!$B$1, Pop_yearly_lookup!$A:$A, 0)))/(INDEX(Pop_yearly_lookup!F:F, MATCH("United States", Pop_yearly_lookup!$A:$A, 0))/INDEX(Pop_yearly_lookup!$C:$C, MATCH("United States", Pop_yearly_lookup!$A:$A, 0)))</f>
        <v>1.154726089158767</v>
      </c>
      <c r="G8" s="66">
        <f>'BCDTRtSY-psgr-US'!G5*(INDEX(Pop_yearly_lookup!G:G, MATCH(About!$B$1, Pop_yearly_lookup!$A:$A, 0))/INDEX(Pop_yearly_lookup!$C:$C, MATCH(About!$B$1, Pop_yearly_lookup!$A:$A, 0)))/(INDEX(Pop_yearly_lookup!G:G, MATCH("United States", Pop_yearly_lookup!$A:$A, 0))/INDEX(Pop_yearly_lookup!$C:$C, MATCH("United States", Pop_yearly_lookup!$A:$A, 0)))</f>
        <v>1.1886264101688639</v>
      </c>
      <c r="H8" s="66">
        <f>'BCDTRtSY-psgr-US'!H5*(INDEX(Pop_yearly_lookup!H:H, MATCH(About!$B$1, Pop_yearly_lookup!$A:$A, 0))/INDEX(Pop_yearly_lookup!$C:$C, MATCH(About!$B$1, Pop_yearly_lookup!$A:$A, 0)))/(INDEX(Pop_yearly_lookup!H:H, MATCH("United States", Pop_yearly_lookup!$A:$A, 0))/INDEX(Pop_yearly_lookup!$C:$C, MATCH("United States", Pop_yearly_lookup!$A:$A, 0)))</f>
        <v>1.2179840665242034</v>
      </c>
      <c r="I8" s="66">
        <f>'BCDTRtSY-psgr-US'!I5*(INDEX(Pop_yearly_lookup!I:I, MATCH(About!$B$1, Pop_yearly_lookup!$A:$A, 0))/INDEX(Pop_yearly_lookup!$C:$C, MATCH(About!$B$1, Pop_yearly_lookup!$A:$A, 0)))/(INDEX(Pop_yearly_lookup!I:I, MATCH("United States", Pop_yearly_lookup!$A:$A, 0))/INDEX(Pop_yearly_lookup!$C:$C, MATCH("United States", Pop_yearly_lookup!$A:$A, 0)))</f>
        <v>1.235791594402607</v>
      </c>
      <c r="J8" s="66">
        <f>'BCDTRtSY-psgr-US'!J5*(INDEX(Pop_yearly_lookup!J:J, MATCH(About!$B$1, Pop_yearly_lookup!$A:$A, 0))/INDEX(Pop_yearly_lookup!$C:$C, MATCH(About!$B$1, Pop_yearly_lookup!$A:$A, 0)))/(INDEX(Pop_yearly_lookup!J:J, MATCH("United States", Pop_yearly_lookup!$A:$A, 0))/INDEX(Pop_yearly_lookup!$C:$C, MATCH("United States", Pop_yearly_lookup!$A:$A, 0)))</f>
        <v>1.2512764787810293</v>
      </c>
      <c r="K8" s="66">
        <f>'BCDTRtSY-psgr-US'!K5*(INDEX(Pop_yearly_lookup!K:K, MATCH(About!$B$1, Pop_yearly_lookup!$A:$A, 0))/INDEX(Pop_yearly_lookup!$C:$C, MATCH(About!$B$1, Pop_yearly_lookup!$A:$A, 0)))/(INDEX(Pop_yearly_lookup!K:K, MATCH("United States", Pop_yearly_lookup!$A:$A, 0))/INDEX(Pop_yearly_lookup!$C:$C, MATCH("United States", Pop_yearly_lookup!$A:$A, 0)))</f>
        <v>1.2675176526871379</v>
      </c>
      <c r="L8" s="66">
        <f>'BCDTRtSY-psgr-US'!L5*(INDEX(Pop_yearly_lookup!L:L, MATCH(About!$B$1, Pop_yearly_lookup!$A:$A, 0))/INDEX(Pop_yearly_lookup!$C:$C, MATCH(About!$B$1, Pop_yearly_lookup!$A:$A, 0)))/(INDEX(Pop_yearly_lookup!L:L, MATCH("United States", Pop_yearly_lookup!$A:$A, 0))/INDEX(Pop_yearly_lookup!$C:$C, MATCH("United States", Pop_yearly_lookup!$A:$A, 0)))</f>
        <v>1.2786146585866751</v>
      </c>
      <c r="M8" s="66">
        <f>'BCDTRtSY-psgr-US'!M5*(INDEX(Pop_yearly_lookup!M:M, MATCH(About!$B$1, Pop_yearly_lookup!$A:$A, 0))/INDEX(Pop_yearly_lookup!$C:$C, MATCH(About!$B$1, Pop_yearly_lookup!$A:$A, 0)))/(INDEX(Pop_yearly_lookup!M:M, MATCH("United States", Pop_yearly_lookup!$A:$A, 0))/INDEX(Pop_yearly_lookup!$C:$C, MATCH("United States", Pop_yearly_lookup!$A:$A, 0)))</f>
        <v>1.2896022844000119</v>
      </c>
      <c r="N8" s="66">
        <f>'BCDTRtSY-psgr-US'!N5*(INDEX(Pop_yearly_lookup!N:N, MATCH(About!$B$1, Pop_yearly_lookup!$A:$A, 0))/INDEX(Pop_yearly_lookup!$C:$C, MATCH(About!$B$1, Pop_yearly_lookup!$A:$A, 0)))/(INDEX(Pop_yearly_lookup!N:N, MATCH("United States", Pop_yearly_lookup!$A:$A, 0))/INDEX(Pop_yearly_lookup!$C:$C, MATCH("United States", Pop_yearly_lookup!$A:$A, 0)))</f>
        <v>1.2968349559188848</v>
      </c>
      <c r="O8" s="66">
        <f>'BCDTRtSY-psgr-US'!O5*(INDEX(Pop_yearly_lookup!O:O, MATCH(About!$B$1, Pop_yearly_lookup!$A:$A, 0))/INDEX(Pop_yearly_lookup!$C:$C, MATCH(About!$B$1, Pop_yearly_lookup!$A:$A, 0)))/(INDEX(Pop_yearly_lookup!O:O, MATCH("United States", Pop_yearly_lookup!$A:$A, 0))/INDEX(Pop_yearly_lookup!$C:$C, MATCH("United States", Pop_yearly_lookup!$A:$A, 0)))</f>
        <v>1.3048723329919587</v>
      </c>
      <c r="P8" s="66">
        <f>'BCDTRtSY-psgr-US'!P5*(INDEX(Pop_yearly_lookup!P:P, MATCH(About!$B$1, Pop_yearly_lookup!$A:$A, 0))/INDEX(Pop_yearly_lookup!$C:$C, MATCH(About!$B$1, Pop_yearly_lookup!$A:$A, 0)))/(INDEX(Pop_yearly_lookup!P:P, MATCH("United States", Pop_yearly_lookup!$A:$A, 0))/INDEX(Pop_yearly_lookup!$C:$C, MATCH("United States", Pop_yearly_lookup!$A:$A, 0)))</f>
        <v>1.3115765938174817</v>
      </c>
      <c r="Q8" s="66">
        <f>'BCDTRtSY-psgr-US'!Q5*(INDEX(Pop_yearly_lookup!Q:Q, MATCH(About!$B$1, Pop_yearly_lookup!$A:$A, 0))/INDEX(Pop_yearly_lookup!$C:$C, MATCH(About!$B$1, Pop_yearly_lookup!$A:$A, 0)))/(INDEX(Pop_yearly_lookup!Q:Q, MATCH("United States", Pop_yearly_lookup!$A:$A, 0))/INDEX(Pop_yearly_lookup!$C:$C, MATCH("United States", Pop_yearly_lookup!$A:$A, 0)))</f>
        <v>1.3155857247514464</v>
      </c>
      <c r="R8" s="66">
        <f>'BCDTRtSY-psgr-US'!R5*(INDEX(Pop_yearly_lookup!R:R, MATCH(About!$B$1, Pop_yearly_lookup!$A:$A, 0))/INDEX(Pop_yearly_lookup!$C:$C, MATCH(About!$B$1, Pop_yearly_lookup!$A:$A, 0)))/(INDEX(Pop_yearly_lookup!R:R, MATCH("United States", Pop_yearly_lookup!$A:$A, 0))/INDEX(Pop_yearly_lookup!$C:$C, MATCH("United States", Pop_yearly_lookup!$A:$A, 0)))</f>
        <v>1.3199118077421086</v>
      </c>
      <c r="S8" s="66">
        <f>'BCDTRtSY-psgr-US'!S5*(INDEX(Pop_yearly_lookup!S:S, MATCH(About!$B$1, Pop_yearly_lookup!$A:$A, 0))/INDEX(Pop_yearly_lookup!$C:$C, MATCH(About!$B$1, Pop_yearly_lookup!$A:$A, 0)))/(INDEX(Pop_yearly_lookup!S:S, MATCH("United States", Pop_yearly_lookup!$A:$A, 0))/INDEX(Pop_yearly_lookup!$C:$C, MATCH("United States", Pop_yearly_lookup!$A:$A, 0)))</f>
        <v>1.3223640371157008</v>
      </c>
      <c r="T8" s="66">
        <f>'BCDTRtSY-psgr-US'!T5*(INDEX(Pop_yearly_lookup!T:T, MATCH(About!$B$1, Pop_yearly_lookup!$A:$A, 0))/INDEX(Pop_yearly_lookup!$C:$C, MATCH(About!$B$1, Pop_yearly_lookup!$A:$A, 0)))/(INDEX(Pop_yearly_lookup!T:T, MATCH("United States", Pop_yearly_lookup!$A:$A, 0))/INDEX(Pop_yearly_lookup!$C:$C, MATCH("United States", Pop_yearly_lookup!$A:$A, 0)))</f>
        <v>1.3248066245835142</v>
      </c>
      <c r="U8" s="66">
        <f>'BCDTRtSY-psgr-US'!U5*(INDEX(Pop_yearly_lookup!U:U, MATCH(About!$B$1, Pop_yearly_lookup!$A:$A, 0))/INDEX(Pop_yearly_lookup!$C:$C, MATCH(About!$B$1, Pop_yearly_lookup!$A:$A, 0)))/(INDEX(Pop_yearly_lookup!U:U, MATCH("United States", Pop_yearly_lookup!$A:$A, 0))/INDEX(Pop_yearly_lookup!$C:$C, MATCH("United States", Pop_yearly_lookup!$A:$A, 0)))</f>
        <v>1.3257124517430878</v>
      </c>
      <c r="V8" s="66">
        <f>'BCDTRtSY-psgr-US'!V5*(INDEX(Pop_yearly_lookup!V:V, MATCH(About!$B$1, Pop_yearly_lookup!$A:$A, 0))/INDEX(Pop_yearly_lookup!$C:$C, MATCH(About!$B$1, Pop_yearly_lookup!$A:$A, 0)))/(INDEX(Pop_yearly_lookup!V:V, MATCH("United States", Pop_yearly_lookup!$A:$A, 0))/INDEX(Pop_yearly_lookup!$C:$C, MATCH("United States", Pop_yearly_lookup!$A:$A, 0)))</f>
        <v>1.3273765200355443</v>
      </c>
      <c r="W8" s="66">
        <f>'BCDTRtSY-psgr-US'!W5*(INDEX(Pop_yearly_lookup!W:W, MATCH(About!$B$1, Pop_yearly_lookup!$A:$A, 0))/INDEX(Pop_yearly_lookup!$C:$C, MATCH(About!$B$1, Pop_yearly_lookup!$A:$A, 0)))/(INDEX(Pop_yearly_lookup!W:W, MATCH("United States", Pop_yearly_lookup!$A:$A, 0))/INDEX(Pop_yearly_lookup!$C:$C, MATCH("United States", Pop_yearly_lookup!$A:$A, 0)))</f>
        <v>1.3296395955963332</v>
      </c>
      <c r="X8" s="66">
        <f>'BCDTRtSY-psgr-US'!X5*(INDEX(Pop_yearly_lookup!X:X, MATCH(About!$B$1, Pop_yearly_lookup!$A:$A, 0))/INDEX(Pop_yearly_lookup!$C:$C, MATCH(About!$B$1, Pop_yearly_lookup!$A:$A, 0)))/(INDEX(Pop_yearly_lookup!X:X, MATCH("United States", Pop_yearly_lookup!$A:$A, 0))/INDEX(Pop_yearly_lookup!$C:$C, MATCH("United States", Pop_yearly_lookup!$A:$A, 0)))</f>
        <v>1.3303093293517989</v>
      </c>
      <c r="Y8" s="66">
        <f>'BCDTRtSY-psgr-US'!Y5*(INDEX(Pop_yearly_lookup!Y:Y, MATCH(About!$B$1, Pop_yearly_lookup!$A:$A, 0))/INDEX(Pop_yearly_lookup!$C:$C, MATCH(About!$B$1, Pop_yearly_lookup!$A:$A, 0)))/(INDEX(Pop_yearly_lookup!Y:Y, MATCH("United States", Pop_yearly_lookup!$A:$A, 0))/INDEX(Pop_yearly_lookup!$C:$C, MATCH("United States", Pop_yearly_lookup!$A:$A, 0)))</f>
        <v>1.3316454728574176</v>
      </c>
      <c r="Z8" s="66">
        <f>'BCDTRtSY-psgr-US'!Z5*(INDEX(Pop_yearly_lookup!Z:Z, MATCH(About!$B$1, Pop_yearly_lookup!$A:$A, 0))/INDEX(Pop_yearly_lookup!$C:$C, MATCH(About!$B$1, Pop_yearly_lookup!$A:$A, 0)))/(INDEX(Pop_yearly_lookup!Z:Z, MATCH("United States", Pop_yearly_lookup!$A:$A, 0))/INDEX(Pop_yearly_lookup!$C:$C, MATCH("United States", Pop_yearly_lookup!$A:$A, 0)))</f>
        <v>1.3307613700553966</v>
      </c>
      <c r="AA8" s="66">
        <f>'BCDTRtSY-psgr-US'!AA5*(INDEX(Pop_yearly_lookup!AA:AA, MATCH(About!$B$1, Pop_yearly_lookup!$A:$A, 0))/INDEX(Pop_yearly_lookup!$C:$C, MATCH(About!$B$1, Pop_yearly_lookup!$A:$A, 0)))/(INDEX(Pop_yearly_lookup!AA:AA, MATCH("United States", Pop_yearly_lookup!$A:$A, 0))/INDEX(Pop_yearly_lookup!$C:$C, MATCH("United States", Pop_yearly_lookup!$A:$A, 0)))</f>
        <v>1.3294723972679998</v>
      </c>
      <c r="AB8" s="66">
        <f>'BCDTRtSY-psgr-US'!AB5*(INDEX(Pop_yearly_lookup!AB:AB, MATCH(About!$B$1, Pop_yearly_lookup!$A:$A, 0))/INDEX(Pop_yearly_lookup!$C:$C, MATCH(About!$B$1, Pop_yearly_lookup!$A:$A, 0)))/(INDEX(Pop_yearly_lookup!AB:AB, MATCH("United States", Pop_yearly_lookup!$A:$A, 0))/INDEX(Pop_yearly_lookup!$C:$C, MATCH("United States", Pop_yearly_lookup!$A:$A, 0)))</f>
        <v>1.3278846920816676</v>
      </c>
    </row>
    <row r="9" spans="1:28">
      <c r="A9" t="s">
        <v>122</v>
      </c>
      <c r="B9" s="66">
        <f>'BCDTRtSY-psgr-US'!B6</f>
        <v>1</v>
      </c>
      <c r="C9" s="66">
        <f>'BCDTRtSY-psgr-US'!C6*(INDEX(Pop_yearly_lookup!C:C, MATCH(About!$B$1, Pop_yearly_lookup!$A:$A, 0))/INDEX(Pop_yearly_lookup!$C:$C, MATCH(About!$B$1, Pop_yearly_lookup!$A:$A, 0)))/(INDEX(Pop_yearly_lookup!C:C, MATCH("United States", Pop_yearly_lookup!$A:$A, 0))/INDEX(Pop_yearly_lookup!$C:$C, MATCH("United States", Pop_yearly_lookup!$A:$A, 0)))</f>
        <v>1</v>
      </c>
      <c r="D9" s="66">
        <f>'BCDTRtSY-psgr-US'!D6*(INDEX(Pop_yearly_lookup!D:D, MATCH(About!$B$1, Pop_yearly_lookup!$A:$A, 0))/INDEX(Pop_yearly_lookup!$C:$C, MATCH(About!$B$1, Pop_yearly_lookup!$A:$A, 0)))/(INDEX(Pop_yearly_lookup!D:D, MATCH("United States", Pop_yearly_lookup!$A:$A, 0))/INDEX(Pop_yearly_lookup!$C:$C, MATCH("United States", Pop_yearly_lookup!$A:$A, 0)))</f>
        <v>1.0042353229219738</v>
      </c>
      <c r="E9" s="66">
        <f>'BCDTRtSY-psgr-US'!E6*(INDEX(Pop_yearly_lookup!E:E, MATCH(About!$B$1, Pop_yearly_lookup!$A:$A, 0))/INDEX(Pop_yearly_lookup!$C:$C, MATCH(About!$B$1, Pop_yearly_lookup!$A:$A, 0)))/(INDEX(Pop_yearly_lookup!E:E, MATCH("United States", Pop_yearly_lookup!$A:$A, 0))/INDEX(Pop_yearly_lookup!$C:$C, MATCH("United States", Pop_yearly_lookup!$A:$A, 0)))</f>
        <v>1.0013510252971904</v>
      </c>
      <c r="F9" s="66">
        <f>'BCDTRtSY-psgr-US'!F6*(INDEX(Pop_yearly_lookup!F:F, MATCH(About!$B$1, Pop_yearly_lookup!$A:$A, 0))/INDEX(Pop_yearly_lookup!$C:$C, MATCH(About!$B$1, Pop_yearly_lookup!$A:$A, 0)))/(INDEX(Pop_yearly_lookup!F:F, MATCH("United States", Pop_yearly_lookup!$A:$A, 0))/INDEX(Pop_yearly_lookup!$C:$C, MATCH("United States", Pop_yearly_lookup!$A:$A, 0)))</f>
        <v>0.99242760143738784</v>
      </c>
      <c r="G9" s="66">
        <f>'BCDTRtSY-psgr-US'!G6*(INDEX(Pop_yearly_lookup!G:G, MATCH(About!$B$1, Pop_yearly_lookup!$A:$A, 0))/INDEX(Pop_yearly_lookup!$C:$C, MATCH(About!$B$1, Pop_yearly_lookup!$A:$A, 0)))/(INDEX(Pop_yearly_lookup!G:G, MATCH("United States", Pop_yearly_lookup!$A:$A, 0))/INDEX(Pop_yearly_lookup!$C:$C, MATCH("United States", Pop_yearly_lookup!$A:$A, 0)))</f>
        <v>0.9858994324285123</v>
      </c>
      <c r="H9" s="66">
        <f>'BCDTRtSY-psgr-US'!H6*(INDEX(Pop_yearly_lookup!H:H, MATCH(About!$B$1, Pop_yearly_lookup!$A:$A, 0))/INDEX(Pop_yearly_lookup!$C:$C, MATCH(About!$B$1, Pop_yearly_lookup!$A:$A, 0)))/(INDEX(Pop_yearly_lookup!H:H, MATCH("United States", Pop_yearly_lookup!$A:$A, 0))/INDEX(Pop_yearly_lookup!$C:$C, MATCH("United States", Pop_yearly_lookup!$A:$A, 0)))</f>
        <v>0.98163131205552745</v>
      </c>
      <c r="I9" s="66">
        <f>'BCDTRtSY-psgr-US'!I6*(INDEX(Pop_yearly_lookup!I:I, MATCH(About!$B$1, Pop_yearly_lookup!$A:$A, 0))/INDEX(Pop_yearly_lookup!$C:$C, MATCH(About!$B$1, Pop_yearly_lookup!$A:$A, 0)))/(INDEX(Pop_yearly_lookup!I:I, MATCH("United States", Pop_yearly_lookup!$A:$A, 0))/INDEX(Pop_yearly_lookup!$C:$C, MATCH("United States", Pop_yearly_lookup!$A:$A, 0)))</f>
        <v>0.97110682165784479</v>
      </c>
      <c r="J9" s="66">
        <f>'BCDTRtSY-psgr-US'!J6*(INDEX(Pop_yearly_lookup!J:J, MATCH(About!$B$1, Pop_yearly_lookup!$A:$A, 0))/INDEX(Pop_yearly_lookup!$C:$C, MATCH(About!$B$1, Pop_yearly_lookup!$A:$A, 0)))/(INDEX(Pop_yearly_lookup!J:J, MATCH("United States", Pop_yearly_lookup!$A:$A, 0))/INDEX(Pop_yearly_lookup!$C:$C, MATCH("United States", Pop_yearly_lookup!$A:$A, 0)))</f>
        <v>0.96298682675460967</v>
      </c>
      <c r="K9" s="66">
        <f>'BCDTRtSY-psgr-US'!K6*(INDEX(Pop_yearly_lookup!K:K, MATCH(About!$B$1, Pop_yearly_lookup!$A:$A, 0))/INDEX(Pop_yearly_lookup!$C:$C, MATCH(About!$B$1, Pop_yearly_lookup!$A:$A, 0)))/(INDEX(Pop_yearly_lookup!K:K, MATCH("United States", Pop_yearly_lookup!$A:$A, 0))/INDEX(Pop_yearly_lookup!$C:$C, MATCH("United States", Pop_yearly_lookup!$A:$A, 0)))</f>
        <v>0.95610840225934046</v>
      </c>
      <c r="L9" s="66">
        <f>'BCDTRtSY-psgr-US'!L6*(INDEX(Pop_yearly_lookup!L:L, MATCH(About!$B$1, Pop_yearly_lookup!$A:$A, 0))/INDEX(Pop_yearly_lookup!$C:$C, MATCH(About!$B$1, Pop_yearly_lookup!$A:$A, 0)))/(INDEX(Pop_yearly_lookup!L:L, MATCH("United States", Pop_yearly_lookup!$A:$A, 0))/INDEX(Pop_yearly_lookup!$C:$C, MATCH("United States", Pop_yearly_lookup!$A:$A, 0)))</f>
        <v>0.95050297944626716</v>
      </c>
      <c r="M9" s="66">
        <f>'BCDTRtSY-psgr-US'!M6*(INDEX(Pop_yearly_lookup!M:M, MATCH(About!$B$1, Pop_yearly_lookup!$A:$A, 0))/INDEX(Pop_yearly_lookup!$C:$C, MATCH(About!$B$1, Pop_yearly_lookup!$A:$A, 0)))/(INDEX(Pop_yearly_lookup!M:M, MATCH("United States", Pop_yearly_lookup!$A:$A, 0))/INDEX(Pop_yearly_lookup!$C:$C, MATCH("United States", Pop_yearly_lookup!$A:$A, 0)))</f>
        <v>0.94621346788949912</v>
      </c>
      <c r="N9" s="66">
        <f>'BCDTRtSY-psgr-US'!N6*(INDEX(Pop_yearly_lookup!N:N, MATCH(About!$B$1, Pop_yearly_lookup!$A:$A, 0))/INDEX(Pop_yearly_lookup!$C:$C, MATCH(About!$B$1, Pop_yearly_lookup!$A:$A, 0)))/(INDEX(Pop_yearly_lookup!N:N, MATCH("United States", Pop_yearly_lookup!$A:$A, 0))/INDEX(Pop_yearly_lookup!$C:$C, MATCH("United States", Pop_yearly_lookup!$A:$A, 0)))</f>
        <v>0.93901213067996603</v>
      </c>
      <c r="O9" s="66">
        <f>'BCDTRtSY-psgr-US'!O6*(INDEX(Pop_yearly_lookup!O:O, MATCH(About!$B$1, Pop_yearly_lookup!$A:$A, 0))/INDEX(Pop_yearly_lookup!$C:$C, MATCH(About!$B$1, Pop_yearly_lookup!$A:$A, 0)))/(INDEX(Pop_yearly_lookup!O:O, MATCH("United States", Pop_yearly_lookup!$A:$A, 0))/INDEX(Pop_yearly_lookup!$C:$C, MATCH("United States", Pop_yearly_lookup!$A:$A, 0)))</f>
        <v>0.93188954163911575</v>
      </c>
      <c r="P9" s="66">
        <f>'BCDTRtSY-psgr-US'!P6*(INDEX(Pop_yearly_lookup!P:P, MATCH(About!$B$1, Pop_yearly_lookup!$A:$A, 0))/INDEX(Pop_yearly_lookup!$C:$C, MATCH(About!$B$1, Pop_yearly_lookup!$A:$A, 0)))/(INDEX(Pop_yearly_lookup!P:P, MATCH("United States", Pop_yearly_lookup!$A:$A, 0))/INDEX(Pop_yearly_lookup!$C:$C, MATCH("United States", Pop_yearly_lookup!$A:$A, 0)))</f>
        <v>0.92464720420809232</v>
      </c>
      <c r="Q9" s="66">
        <f>'BCDTRtSY-psgr-US'!Q6*(INDEX(Pop_yearly_lookup!Q:Q, MATCH(About!$B$1, Pop_yearly_lookup!$A:$A, 0))/INDEX(Pop_yearly_lookup!$C:$C, MATCH(About!$B$1, Pop_yearly_lookup!$A:$A, 0)))/(INDEX(Pop_yearly_lookup!Q:Q, MATCH("United States", Pop_yearly_lookup!$A:$A, 0))/INDEX(Pop_yearly_lookup!$C:$C, MATCH("United States", Pop_yearly_lookup!$A:$A, 0)))</f>
        <v>0.91737786449482595</v>
      </c>
      <c r="R9" s="66">
        <f>'BCDTRtSY-psgr-US'!R6*(INDEX(Pop_yearly_lookup!R:R, MATCH(About!$B$1, Pop_yearly_lookup!$A:$A, 0))/INDEX(Pop_yearly_lookup!$C:$C, MATCH(About!$B$1, Pop_yearly_lookup!$A:$A, 0)))/(INDEX(Pop_yearly_lookup!R:R, MATCH("United States", Pop_yearly_lookup!$A:$A, 0))/INDEX(Pop_yearly_lookup!$C:$C, MATCH("United States", Pop_yearly_lookup!$A:$A, 0)))</f>
        <v>0.91024091285758246</v>
      </c>
      <c r="S9" s="66">
        <f>'BCDTRtSY-psgr-US'!S6*(INDEX(Pop_yearly_lookup!S:S, MATCH(About!$B$1, Pop_yearly_lookup!$A:$A, 0))/INDEX(Pop_yearly_lookup!$C:$C, MATCH(About!$B$1, Pop_yearly_lookup!$A:$A, 0)))/(INDEX(Pop_yearly_lookup!S:S, MATCH("United States", Pop_yearly_lookup!$A:$A, 0))/INDEX(Pop_yearly_lookup!$C:$C, MATCH("United States", Pop_yearly_lookup!$A:$A, 0)))</f>
        <v>0.90217165092556839</v>
      </c>
      <c r="T9" s="66">
        <f>'BCDTRtSY-psgr-US'!T6*(INDEX(Pop_yearly_lookup!T:T, MATCH(About!$B$1, Pop_yearly_lookup!$A:$A, 0))/INDEX(Pop_yearly_lookup!$C:$C, MATCH(About!$B$1, Pop_yearly_lookup!$A:$A, 0)))/(INDEX(Pop_yearly_lookup!T:T, MATCH("United States", Pop_yearly_lookup!$A:$A, 0))/INDEX(Pop_yearly_lookup!$C:$C, MATCH("United States", Pop_yearly_lookup!$A:$A, 0)))</f>
        <v>0.89455562264789812</v>
      </c>
      <c r="U9" s="66">
        <f>'BCDTRtSY-psgr-US'!U6*(INDEX(Pop_yearly_lookup!U:U, MATCH(About!$B$1, Pop_yearly_lookup!$A:$A, 0))/INDEX(Pop_yearly_lookup!$C:$C, MATCH(About!$B$1, Pop_yearly_lookup!$A:$A, 0)))/(INDEX(Pop_yearly_lookup!U:U, MATCH("United States", Pop_yearly_lookup!$A:$A, 0))/INDEX(Pop_yearly_lookup!$C:$C, MATCH("United States", Pop_yearly_lookup!$A:$A, 0)))</f>
        <v>0.88726392984582425</v>
      </c>
      <c r="V9" s="66">
        <f>'BCDTRtSY-psgr-US'!V6*(INDEX(Pop_yearly_lookup!V:V, MATCH(About!$B$1, Pop_yearly_lookup!$A:$A, 0))/INDEX(Pop_yearly_lookup!$C:$C, MATCH(About!$B$1, Pop_yearly_lookup!$A:$A, 0)))/(INDEX(Pop_yearly_lookup!V:V, MATCH("United States", Pop_yearly_lookup!$A:$A, 0))/INDEX(Pop_yearly_lookup!$C:$C, MATCH("United States", Pop_yearly_lookup!$A:$A, 0)))</f>
        <v>0.88001081529839376</v>
      </c>
      <c r="W9" s="66">
        <f>'BCDTRtSY-psgr-US'!W6*(INDEX(Pop_yearly_lookup!W:W, MATCH(About!$B$1, Pop_yearly_lookup!$A:$A, 0))/INDEX(Pop_yearly_lookup!$C:$C, MATCH(About!$B$1, Pop_yearly_lookup!$A:$A, 0)))/(INDEX(Pop_yearly_lookup!W:W, MATCH("United States", Pop_yearly_lookup!$A:$A, 0))/INDEX(Pop_yearly_lookup!$C:$C, MATCH("United States", Pop_yearly_lookup!$A:$A, 0)))</f>
        <v>0.87276486638949891</v>
      </c>
      <c r="X9" s="66">
        <f>'BCDTRtSY-psgr-US'!X6*(INDEX(Pop_yearly_lookup!X:X, MATCH(About!$B$1, Pop_yearly_lookup!$A:$A, 0))/INDEX(Pop_yearly_lookup!$C:$C, MATCH(About!$B$1, Pop_yearly_lookup!$A:$A, 0)))/(INDEX(Pop_yearly_lookup!X:X, MATCH("United States", Pop_yearly_lookup!$A:$A, 0))/INDEX(Pop_yearly_lookup!$C:$C, MATCH("United States", Pop_yearly_lookup!$A:$A, 0)))</f>
        <v>0.86511149919417207</v>
      </c>
      <c r="Y9" s="66">
        <f>'BCDTRtSY-psgr-US'!Y6*(INDEX(Pop_yearly_lookup!Y:Y, MATCH(About!$B$1, Pop_yearly_lookup!$A:$A, 0))/INDEX(Pop_yearly_lookup!$C:$C, MATCH(About!$B$1, Pop_yearly_lookup!$A:$A, 0)))/(INDEX(Pop_yearly_lookup!Y:Y, MATCH("United States", Pop_yearly_lookup!$A:$A, 0))/INDEX(Pop_yearly_lookup!$C:$C, MATCH("United States", Pop_yearly_lookup!$A:$A, 0)))</f>
        <v>0.85688451284939782</v>
      </c>
      <c r="Z9" s="66">
        <f>'BCDTRtSY-psgr-US'!Z6*(INDEX(Pop_yearly_lookup!Z:Z, MATCH(About!$B$1, Pop_yearly_lookup!$A:$A, 0))/INDEX(Pop_yearly_lookup!$C:$C, MATCH(About!$B$1, Pop_yearly_lookup!$A:$A, 0)))/(INDEX(Pop_yearly_lookup!Z:Z, MATCH("United States", Pop_yearly_lookup!$A:$A, 0))/INDEX(Pop_yearly_lookup!$C:$C, MATCH("United States", Pop_yearly_lookup!$A:$A, 0)))</f>
        <v>0.84857015335434471</v>
      </c>
      <c r="AA9" s="66">
        <f>'BCDTRtSY-psgr-US'!AA6*(INDEX(Pop_yearly_lookup!AA:AA, MATCH(About!$B$1, Pop_yearly_lookup!$A:$A, 0))/INDEX(Pop_yearly_lookup!$C:$C, MATCH(About!$B$1, Pop_yearly_lookup!$A:$A, 0)))/(INDEX(Pop_yearly_lookup!AA:AA, MATCH("United States", Pop_yearly_lookup!$A:$A, 0))/INDEX(Pop_yearly_lookup!$C:$C, MATCH("United States", Pop_yearly_lookup!$A:$A, 0)))</f>
        <v>0.83994954149205481</v>
      </c>
      <c r="AB9" s="66">
        <f>'BCDTRtSY-psgr-US'!AB6*(INDEX(Pop_yearly_lookup!AB:AB, MATCH(About!$B$1, Pop_yearly_lookup!$A:$A, 0))/INDEX(Pop_yearly_lookup!$C:$C, MATCH(About!$B$1, Pop_yearly_lookup!$A:$A, 0)))/(INDEX(Pop_yearly_lookup!AB:AB, MATCH("United States", Pop_yearly_lookup!$A:$A, 0))/INDEX(Pop_yearly_lookup!$C:$C, MATCH("United States", Pop_yearly_lookup!$A:$A, 0)))</f>
        <v>0.83163252111340324</v>
      </c>
    </row>
    <row r="10" spans="1:28">
      <c r="A10" t="s">
        <v>123</v>
      </c>
      <c r="B10" s="66">
        <f>'BCDTRtSY-psgr-US'!B7</f>
        <v>1</v>
      </c>
      <c r="C10" s="66">
        <f>'BCDTRtSY-psgr-US'!C7*(INDEX(Pop_yearly_lookup!C:C, MATCH(About!$B$1, Pop_yearly_lookup!$A:$A, 0))/INDEX(Pop_yearly_lookup!$C:$C, MATCH(About!$B$1, Pop_yearly_lookup!$A:$A, 0)))/(INDEX(Pop_yearly_lookup!C:C, MATCH("United States", Pop_yearly_lookup!$A:$A, 0))/INDEX(Pop_yearly_lookup!$C:$C, MATCH("United States", Pop_yearly_lookup!$A:$A, 0)))</f>
        <v>1</v>
      </c>
      <c r="D10" s="66">
        <f>'BCDTRtSY-psgr-US'!D7*(INDEX(Pop_yearly_lookup!D:D, MATCH(About!$B$1, Pop_yearly_lookup!$A:$A, 0))/INDEX(Pop_yearly_lookup!$C:$C, MATCH(About!$B$1, Pop_yearly_lookup!$A:$A, 0)))/(INDEX(Pop_yearly_lookup!D:D, MATCH("United States", Pop_yearly_lookup!$A:$A, 0))/INDEX(Pop_yearly_lookup!$C:$C, MATCH("United States", Pop_yearly_lookup!$A:$A, 0)))</f>
        <v>1.0081885353543212</v>
      </c>
      <c r="E10" s="66">
        <f>'BCDTRtSY-psgr-US'!E7*(INDEX(Pop_yearly_lookup!E:E, MATCH(About!$B$1, Pop_yearly_lookup!$A:$A, 0))/INDEX(Pop_yearly_lookup!$C:$C, MATCH(About!$B$1, Pop_yearly_lookup!$A:$A, 0)))/(INDEX(Pop_yearly_lookup!E:E, MATCH("United States", Pop_yearly_lookup!$A:$A, 0))/INDEX(Pop_yearly_lookup!$C:$C, MATCH("United States", Pop_yearly_lookup!$A:$A, 0)))</f>
        <v>1.0185969420039296</v>
      </c>
      <c r="F10" s="66">
        <f>'BCDTRtSY-psgr-US'!F7*(INDEX(Pop_yearly_lookup!F:F, MATCH(About!$B$1, Pop_yearly_lookup!$A:$A, 0))/INDEX(Pop_yearly_lookup!$C:$C, MATCH(About!$B$1, Pop_yearly_lookup!$A:$A, 0)))/(INDEX(Pop_yearly_lookup!F:F, MATCH("United States", Pop_yearly_lookup!$A:$A, 0))/INDEX(Pop_yearly_lookup!$C:$C, MATCH("United States", Pop_yearly_lookup!$A:$A, 0)))</f>
        <v>1.0260731946167196</v>
      </c>
      <c r="G10" s="66">
        <f>'BCDTRtSY-psgr-US'!G7*(INDEX(Pop_yearly_lookup!G:G, MATCH(About!$B$1, Pop_yearly_lookup!$A:$A, 0))/INDEX(Pop_yearly_lookup!$C:$C, MATCH(About!$B$1, Pop_yearly_lookup!$A:$A, 0)))/(INDEX(Pop_yearly_lookup!G:G, MATCH("United States", Pop_yearly_lookup!$A:$A, 0))/INDEX(Pop_yearly_lookup!$C:$C, MATCH("United States", Pop_yearly_lookup!$A:$A, 0)))</f>
        <v>1.0333516409111068</v>
      </c>
      <c r="H10" s="66">
        <f>'BCDTRtSY-psgr-US'!H7*(INDEX(Pop_yearly_lookup!H:H, MATCH(About!$B$1, Pop_yearly_lookup!$A:$A, 0))/INDEX(Pop_yearly_lookup!$C:$C, MATCH(About!$B$1, Pop_yearly_lookup!$A:$A, 0)))/(INDEX(Pop_yearly_lookup!H:H, MATCH("United States", Pop_yearly_lookup!$A:$A, 0))/INDEX(Pop_yearly_lookup!$C:$C, MATCH("United States", Pop_yearly_lookup!$A:$A, 0)))</f>
        <v>1.0395979187998858</v>
      </c>
      <c r="I10" s="66">
        <f>'BCDTRtSY-psgr-US'!I7*(INDEX(Pop_yearly_lookup!I:I, MATCH(About!$B$1, Pop_yearly_lookup!$A:$A, 0))/INDEX(Pop_yearly_lookup!$C:$C, MATCH(About!$B$1, Pop_yearly_lookup!$A:$A, 0)))/(INDEX(Pop_yearly_lookup!I:I, MATCH("United States", Pop_yearly_lookup!$A:$A, 0))/INDEX(Pop_yearly_lookup!$C:$C, MATCH("United States", Pop_yearly_lookup!$A:$A, 0)))</f>
        <v>1.039800442132194</v>
      </c>
      <c r="J10" s="66">
        <f>'BCDTRtSY-psgr-US'!J7*(INDEX(Pop_yearly_lookup!J:J, MATCH(About!$B$1, Pop_yearly_lookup!$A:$A, 0))/INDEX(Pop_yearly_lookup!$C:$C, MATCH(About!$B$1, Pop_yearly_lookup!$A:$A, 0)))/(INDEX(Pop_yearly_lookup!J:J, MATCH("United States", Pop_yearly_lookup!$A:$A, 0))/INDEX(Pop_yearly_lookup!$C:$C, MATCH("United States", Pop_yearly_lookup!$A:$A, 0)))</f>
        <v>1.0400478712505601</v>
      </c>
      <c r="K10" s="66">
        <f>'BCDTRtSY-psgr-US'!K7*(INDEX(Pop_yearly_lookup!K:K, MATCH(About!$B$1, Pop_yearly_lookup!$A:$A, 0))/INDEX(Pop_yearly_lookup!$C:$C, MATCH(About!$B$1, Pop_yearly_lookup!$A:$A, 0)))/(INDEX(Pop_yearly_lookup!K:K, MATCH("United States", Pop_yearly_lookup!$A:$A, 0))/INDEX(Pop_yearly_lookup!$C:$C, MATCH("United States", Pop_yearly_lookup!$A:$A, 0)))</f>
        <v>1.038753167528037</v>
      </c>
      <c r="L10" s="66">
        <f>'BCDTRtSY-psgr-US'!L7*(INDEX(Pop_yearly_lookup!L:L, MATCH(About!$B$1, Pop_yearly_lookup!$A:$A, 0))/INDEX(Pop_yearly_lookup!$C:$C, MATCH(About!$B$1, Pop_yearly_lookup!$A:$A, 0)))/(INDEX(Pop_yearly_lookup!L:L, MATCH("United States", Pop_yearly_lookup!$A:$A, 0))/INDEX(Pop_yearly_lookup!$C:$C, MATCH("United States", Pop_yearly_lookup!$A:$A, 0)))</f>
        <v>1.0378186861472971</v>
      </c>
      <c r="M10" s="66">
        <f>'BCDTRtSY-psgr-US'!M7*(INDEX(Pop_yearly_lookup!M:M, MATCH(About!$B$1, Pop_yearly_lookup!$A:$A, 0))/INDEX(Pop_yearly_lookup!$C:$C, MATCH(About!$B$1, Pop_yearly_lookup!$A:$A, 0)))/(INDEX(Pop_yearly_lookup!M:M, MATCH("United States", Pop_yearly_lookup!$A:$A, 0))/INDEX(Pop_yearly_lookup!$C:$C, MATCH("United States", Pop_yearly_lookup!$A:$A, 0)))</f>
        <v>1.0359821271672274</v>
      </c>
      <c r="N10" s="66">
        <f>'BCDTRtSY-psgr-US'!N7*(INDEX(Pop_yearly_lookup!N:N, MATCH(About!$B$1, Pop_yearly_lookup!$A:$A, 0))/INDEX(Pop_yearly_lookup!$C:$C, MATCH(About!$B$1, Pop_yearly_lookup!$A:$A, 0)))/(INDEX(Pop_yearly_lookup!N:N, MATCH("United States", Pop_yearly_lookup!$A:$A, 0))/INDEX(Pop_yearly_lookup!$C:$C, MATCH("United States", Pop_yearly_lookup!$A:$A, 0)))</f>
        <v>1.0349513364962235</v>
      </c>
      <c r="O10" s="66">
        <f>'BCDTRtSY-psgr-US'!O7*(INDEX(Pop_yearly_lookup!O:O, MATCH(About!$B$1, Pop_yearly_lookup!$A:$A, 0))/INDEX(Pop_yearly_lookup!$C:$C, MATCH(About!$B$1, Pop_yearly_lookup!$A:$A, 0)))/(INDEX(Pop_yearly_lookup!O:O, MATCH("United States", Pop_yearly_lookup!$A:$A, 0))/INDEX(Pop_yearly_lookup!$C:$C, MATCH("United States", Pop_yearly_lookup!$A:$A, 0)))</f>
        <v>1.0343682688070222</v>
      </c>
      <c r="P10" s="66">
        <f>'BCDTRtSY-psgr-US'!P7*(INDEX(Pop_yearly_lookup!P:P, MATCH(About!$B$1, Pop_yearly_lookup!$A:$A, 0))/INDEX(Pop_yearly_lookup!$C:$C, MATCH(About!$B$1, Pop_yearly_lookup!$A:$A, 0)))/(INDEX(Pop_yearly_lookup!P:P, MATCH("United States", Pop_yearly_lookup!$A:$A, 0))/INDEX(Pop_yearly_lookup!$C:$C, MATCH("United States", Pop_yearly_lookup!$A:$A, 0)))</f>
        <v>1.0337562121904265</v>
      </c>
      <c r="Q10" s="66">
        <f>'BCDTRtSY-psgr-US'!Q7*(INDEX(Pop_yearly_lookup!Q:Q, MATCH(About!$B$1, Pop_yearly_lookup!$A:$A, 0))/INDEX(Pop_yearly_lookup!$C:$C, MATCH(About!$B$1, Pop_yearly_lookup!$A:$A, 0)))/(INDEX(Pop_yearly_lookup!Q:Q, MATCH("United States", Pop_yearly_lookup!$A:$A, 0))/INDEX(Pop_yearly_lookup!$C:$C, MATCH("United States", Pop_yearly_lookup!$A:$A, 0)))</f>
        <v>1.0324329355229853</v>
      </c>
      <c r="R10" s="66">
        <f>'BCDTRtSY-psgr-US'!R7*(INDEX(Pop_yearly_lookup!R:R, MATCH(About!$B$1, Pop_yearly_lookup!$A:$A, 0))/INDEX(Pop_yearly_lookup!$C:$C, MATCH(About!$B$1, Pop_yearly_lookup!$A:$A, 0)))/(INDEX(Pop_yearly_lookup!R:R, MATCH("United States", Pop_yearly_lookup!$A:$A, 0))/INDEX(Pop_yearly_lookup!$C:$C, MATCH("United States", Pop_yearly_lookup!$A:$A, 0)))</f>
        <v>1.0313389767400294</v>
      </c>
      <c r="S10" s="66">
        <f>'BCDTRtSY-psgr-US'!S7*(INDEX(Pop_yearly_lookup!S:S, MATCH(About!$B$1, Pop_yearly_lookup!$A:$A, 0))/INDEX(Pop_yearly_lookup!$C:$C, MATCH(About!$B$1, Pop_yearly_lookup!$A:$A, 0)))/(INDEX(Pop_yearly_lookup!S:S, MATCH("United States", Pop_yearly_lookup!$A:$A, 0))/INDEX(Pop_yearly_lookup!$C:$C, MATCH("United States", Pop_yearly_lookup!$A:$A, 0)))</f>
        <v>1.029413002517217</v>
      </c>
      <c r="T10" s="66">
        <f>'BCDTRtSY-psgr-US'!T7*(INDEX(Pop_yearly_lookup!T:T, MATCH(About!$B$1, Pop_yearly_lookup!$A:$A, 0))/INDEX(Pop_yearly_lookup!$C:$C, MATCH(About!$B$1, Pop_yearly_lookup!$A:$A, 0)))/(INDEX(Pop_yearly_lookup!T:T, MATCH("United States", Pop_yearly_lookup!$A:$A, 0))/INDEX(Pop_yearly_lookup!$C:$C, MATCH("United States", Pop_yearly_lookup!$A:$A, 0)))</f>
        <v>1.0272267588674118</v>
      </c>
      <c r="U10" s="66">
        <f>'BCDTRtSY-psgr-US'!U7*(INDEX(Pop_yearly_lookup!U:U, MATCH(About!$B$1, Pop_yearly_lookup!$A:$A, 0))/INDEX(Pop_yearly_lookup!$C:$C, MATCH(About!$B$1, Pop_yearly_lookup!$A:$A, 0)))/(INDEX(Pop_yearly_lookup!U:U, MATCH("United States", Pop_yearly_lookup!$A:$A, 0))/INDEX(Pop_yearly_lookup!$C:$C, MATCH("United States", Pop_yearly_lookup!$A:$A, 0)))</f>
        <v>1.0248158419919051</v>
      </c>
      <c r="V10" s="66">
        <f>'BCDTRtSY-psgr-US'!V7*(INDEX(Pop_yearly_lookup!V:V, MATCH(About!$B$1, Pop_yearly_lookup!$A:$A, 0))/INDEX(Pop_yearly_lookup!$C:$C, MATCH(About!$B$1, Pop_yearly_lookup!$A:$A, 0)))/(INDEX(Pop_yearly_lookup!V:V, MATCH("United States", Pop_yearly_lookup!$A:$A, 0))/INDEX(Pop_yearly_lookup!$C:$C, MATCH("United States", Pop_yearly_lookup!$A:$A, 0)))</f>
        <v>1.0227334886893491</v>
      </c>
      <c r="W10" s="66">
        <f>'BCDTRtSY-psgr-US'!W7*(INDEX(Pop_yearly_lookup!W:W, MATCH(About!$B$1, Pop_yearly_lookup!$A:$A, 0))/INDEX(Pop_yearly_lookup!$C:$C, MATCH(About!$B$1, Pop_yearly_lookup!$A:$A, 0)))/(INDEX(Pop_yearly_lookup!W:W, MATCH("United States", Pop_yearly_lookup!$A:$A, 0))/INDEX(Pop_yearly_lookup!$C:$C, MATCH("United States", Pop_yearly_lookup!$A:$A, 0)))</f>
        <v>1.0205243342266102</v>
      </c>
      <c r="X10" s="66">
        <f>'BCDTRtSY-psgr-US'!X7*(INDEX(Pop_yearly_lookup!X:X, MATCH(About!$B$1, Pop_yearly_lookup!$A:$A, 0))/INDEX(Pop_yearly_lookup!$C:$C, MATCH(About!$B$1, Pop_yearly_lookup!$A:$A, 0)))/(INDEX(Pop_yearly_lookup!X:X, MATCH("United States", Pop_yearly_lookup!$A:$A, 0))/INDEX(Pop_yearly_lookup!$C:$C, MATCH("United States", Pop_yearly_lookup!$A:$A, 0)))</f>
        <v>1.0178707247526122</v>
      </c>
      <c r="Y10" s="66">
        <f>'BCDTRtSY-psgr-US'!Y7*(INDEX(Pop_yearly_lookup!Y:Y, MATCH(About!$B$1, Pop_yearly_lookup!$A:$A, 0))/INDEX(Pop_yearly_lookup!$C:$C, MATCH(About!$B$1, Pop_yearly_lookup!$A:$A, 0)))/(INDEX(Pop_yearly_lookup!Y:Y, MATCH("United States", Pop_yearly_lookup!$A:$A, 0))/INDEX(Pop_yearly_lookup!$C:$C, MATCH("United States", Pop_yearly_lookup!$A:$A, 0)))</f>
        <v>1.0145187734862489</v>
      </c>
      <c r="Z10" s="66">
        <f>'BCDTRtSY-psgr-US'!Z7*(INDEX(Pop_yearly_lookup!Z:Z, MATCH(About!$B$1, Pop_yearly_lookup!$A:$A, 0))/INDEX(Pop_yearly_lookup!$C:$C, MATCH(About!$B$1, Pop_yearly_lookup!$A:$A, 0)))/(INDEX(Pop_yearly_lookup!Z:Z, MATCH("United States", Pop_yearly_lookup!$A:$A, 0))/INDEX(Pop_yearly_lookup!$C:$C, MATCH("United States", Pop_yearly_lookup!$A:$A, 0)))</f>
        <v>1.0111262963461787</v>
      </c>
      <c r="AA10" s="66">
        <f>'BCDTRtSY-psgr-US'!AA7*(INDEX(Pop_yearly_lookup!AA:AA, MATCH(About!$B$1, Pop_yearly_lookup!$A:$A, 0))/INDEX(Pop_yearly_lookup!$C:$C, MATCH(About!$B$1, Pop_yearly_lookup!$A:$A, 0)))/(INDEX(Pop_yearly_lookup!AA:AA, MATCH("United States", Pop_yearly_lookup!$A:$A, 0))/INDEX(Pop_yearly_lookup!$C:$C, MATCH("United States", Pop_yearly_lookup!$A:$A, 0)))</f>
        <v>1.007594462536344</v>
      </c>
      <c r="AB10" s="66">
        <f>'BCDTRtSY-psgr-US'!AB7*(INDEX(Pop_yearly_lookup!AB:AB, MATCH(About!$B$1, Pop_yearly_lookup!$A:$A, 0))/INDEX(Pop_yearly_lookup!$C:$C, MATCH(About!$B$1, Pop_yearly_lookup!$A:$A, 0)))/(INDEX(Pop_yearly_lookup!AB:AB, MATCH("United States", Pop_yearly_lookup!$A:$A, 0))/INDEX(Pop_yearly_lookup!$C:$C, MATCH("United States", Pop_yearly_lookup!$A:$A, 0)))</f>
        <v>1.0044524870616083</v>
      </c>
    </row>
    <row r="12" spans="1:28">
      <c r="A12" s="1" t="s">
        <v>2025</v>
      </c>
    </row>
    <row r="13" spans="1:28">
      <c r="A13" t="s">
        <v>120</v>
      </c>
      <c r="B13" s="66">
        <f>'BCDTRtSY-frgt-US'!B2</f>
        <v>1</v>
      </c>
      <c r="C13" s="66">
        <f>'BCDTRtSY-frgt-US'!C2*(INDEX(Pop_yearly_lookup!C:C, MATCH(About!$B$1, Pop_yearly_lookup!$A:$A, 0))/INDEX(Pop_yearly_lookup!$C:$C, MATCH(About!$B$1, Pop_yearly_lookup!$A:$A, 0)))/(INDEX(Pop_yearly_lookup!C:C, MATCH("United States", Pop_yearly_lookup!$A:$A, 0))/INDEX(Pop_yearly_lookup!$C:$C, MATCH("United States", Pop_yearly_lookup!$A:$A, 0)))</f>
        <v>1</v>
      </c>
      <c r="D13" s="66">
        <f>'BCDTRtSY-frgt-US'!D2*(INDEX(Pop_yearly_lookup!D:D, MATCH(About!$B$1, Pop_yearly_lookup!$A:$A, 0))/INDEX(Pop_yearly_lookup!$C:$C, MATCH(About!$B$1, Pop_yearly_lookup!$A:$A, 0)))/(INDEX(Pop_yearly_lookup!D:D, MATCH("United States", Pop_yearly_lookup!$A:$A, 0))/INDEX(Pop_yearly_lookup!$C:$C, MATCH("United States", Pop_yearly_lookup!$A:$A, 0)))</f>
        <v>0.99836381190295287</v>
      </c>
      <c r="E13" s="66">
        <f>'BCDTRtSY-frgt-US'!E2*(INDEX(Pop_yearly_lookup!E:E, MATCH(About!$B$1, Pop_yearly_lookup!$A:$A, 0))/INDEX(Pop_yearly_lookup!$C:$C, MATCH(About!$B$1, Pop_yearly_lookup!$A:$A, 0)))/(INDEX(Pop_yearly_lookup!E:E, MATCH("United States", Pop_yearly_lookup!$A:$A, 0))/INDEX(Pop_yearly_lookup!$C:$C, MATCH("United States", Pop_yearly_lookup!$A:$A, 0)))</f>
        <v>1.0021822533978297</v>
      </c>
      <c r="F13" s="66">
        <f>'BCDTRtSY-frgt-US'!F2*(INDEX(Pop_yearly_lookup!F:F, MATCH(About!$B$1, Pop_yearly_lookup!$A:$A, 0))/INDEX(Pop_yearly_lookup!$C:$C, MATCH(About!$B$1, Pop_yearly_lookup!$A:$A, 0)))/(INDEX(Pop_yearly_lookup!F:F, MATCH("United States", Pop_yearly_lookup!$A:$A, 0))/INDEX(Pop_yearly_lookup!$C:$C, MATCH("United States", Pop_yearly_lookup!$A:$A, 0)))</f>
        <v>1.0056213220488199</v>
      </c>
      <c r="G13" s="66">
        <f>'BCDTRtSY-frgt-US'!G2*(INDEX(Pop_yearly_lookup!G:G, MATCH(About!$B$1, Pop_yearly_lookup!$A:$A, 0))/INDEX(Pop_yearly_lookup!$C:$C, MATCH(About!$B$1, Pop_yearly_lookup!$A:$A, 0)))/(INDEX(Pop_yearly_lookup!G:G, MATCH("United States", Pop_yearly_lookup!$A:$A, 0))/INDEX(Pop_yearly_lookup!$C:$C, MATCH("United States", Pop_yearly_lookup!$A:$A, 0)))</f>
        <v>1.0102331593632707</v>
      </c>
      <c r="H13" s="66">
        <f>'BCDTRtSY-frgt-US'!H2*(INDEX(Pop_yearly_lookup!H:H, MATCH(About!$B$1, Pop_yearly_lookup!$A:$A, 0))/INDEX(Pop_yearly_lookup!$C:$C, MATCH(About!$B$1, Pop_yearly_lookup!$A:$A, 0)))/(INDEX(Pop_yearly_lookup!H:H, MATCH("United States", Pop_yearly_lookup!$A:$A, 0))/INDEX(Pop_yearly_lookup!$C:$C, MATCH("United States", Pop_yearly_lookup!$A:$A, 0)))</f>
        <v>1.0196873846783714</v>
      </c>
      <c r="I13" s="66">
        <f>'BCDTRtSY-frgt-US'!I2*(INDEX(Pop_yearly_lookup!I:I, MATCH(About!$B$1, Pop_yearly_lookup!$A:$A, 0))/INDEX(Pop_yearly_lookup!$C:$C, MATCH(About!$B$1, Pop_yearly_lookup!$A:$A, 0)))/(INDEX(Pop_yearly_lookup!I:I, MATCH("United States", Pop_yearly_lookup!$A:$A, 0))/INDEX(Pop_yearly_lookup!$C:$C, MATCH("United States", Pop_yearly_lookup!$A:$A, 0)))</f>
        <v>1.0216994341139067</v>
      </c>
      <c r="J13" s="66">
        <f>'BCDTRtSY-frgt-US'!J2*(INDEX(Pop_yearly_lookup!J:J, MATCH(About!$B$1, Pop_yearly_lookup!$A:$A, 0))/INDEX(Pop_yearly_lookup!$C:$C, MATCH(About!$B$1, Pop_yearly_lookup!$A:$A, 0)))/(INDEX(Pop_yearly_lookup!J:J, MATCH("United States", Pop_yearly_lookup!$A:$A, 0))/INDEX(Pop_yearly_lookup!$C:$C, MATCH("United States", Pop_yearly_lookup!$A:$A, 0)))</f>
        <v>1.0255193454049425</v>
      </c>
      <c r="K13" s="66">
        <f>'BCDTRtSY-frgt-US'!K2*(INDEX(Pop_yearly_lookup!K:K, MATCH(About!$B$1, Pop_yearly_lookup!$A:$A, 0))/INDEX(Pop_yearly_lookup!$C:$C, MATCH(About!$B$1, Pop_yearly_lookup!$A:$A, 0)))/(INDEX(Pop_yearly_lookup!K:K, MATCH("United States", Pop_yearly_lookup!$A:$A, 0))/INDEX(Pop_yearly_lookup!$C:$C, MATCH("United States", Pop_yearly_lookup!$A:$A, 0)))</f>
        <v>1.0280222750551977</v>
      </c>
      <c r="L13" s="66">
        <f>'BCDTRtSY-frgt-US'!L2*(INDEX(Pop_yearly_lookup!L:L, MATCH(About!$B$1, Pop_yearly_lookup!$A:$A, 0))/INDEX(Pop_yearly_lookup!$C:$C, MATCH(About!$B$1, Pop_yearly_lookup!$A:$A, 0)))/(INDEX(Pop_yearly_lookup!L:L, MATCH("United States", Pop_yearly_lookup!$A:$A, 0))/INDEX(Pop_yearly_lookup!$C:$C, MATCH("United States", Pop_yearly_lookup!$A:$A, 0)))</f>
        <v>1.0324612803494162</v>
      </c>
      <c r="M13" s="66">
        <f>'BCDTRtSY-frgt-US'!M2*(INDEX(Pop_yearly_lookup!M:M, MATCH(About!$B$1, Pop_yearly_lookup!$A:$A, 0))/INDEX(Pop_yearly_lookup!$C:$C, MATCH(About!$B$1, Pop_yearly_lookup!$A:$A, 0)))/(INDEX(Pop_yearly_lookup!M:M, MATCH("United States", Pop_yearly_lookup!$A:$A, 0))/INDEX(Pop_yearly_lookup!$C:$C, MATCH("United States", Pop_yearly_lookup!$A:$A, 0)))</f>
        <v>1.037596600567704</v>
      </c>
      <c r="N13" s="66">
        <f>'BCDTRtSY-frgt-US'!N2*(INDEX(Pop_yearly_lookup!N:N, MATCH(About!$B$1, Pop_yearly_lookup!$A:$A, 0))/INDEX(Pop_yearly_lookup!$C:$C, MATCH(About!$B$1, Pop_yearly_lookup!$A:$A, 0)))/(INDEX(Pop_yearly_lookup!N:N, MATCH("United States", Pop_yearly_lookup!$A:$A, 0))/INDEX(Pop_yearly_lookup!$C:$C, MATCH("United States", Pop_yearly_lookup!$A:$A, 0)))</f>
        <v>1.0430560674446097</v>
      </c>
      <c r="O13" s="66">
        <f>'BCDTRtSY-frgt-US'!O2*(INDEX(Pop_yearly_lookup!O:O, MATCH(About!$B$1, Pop_yearly_lookup!$A:$A, 0))/INDEX(Pop_yearly_lookup!$C:$C, MATCH(About!$B$1, Pop_yearly_lookup!$A:$A, 0)))/(INDEX(Pop_yearly_lookup!O:O, MATCH("United States", Pop_yearly_lookup!$A:$A, 0))/INDEX(Pop_yearly_lookup!$C:$C, MATCH("United States", Pop_yearly_lookup!$A:$A, 0)))</f>
        <v>1.0497614480458008</v>
      </c>
      <c r="P13" s="66">
        <f>'BCDTRtSY-frgt-US'!P2*(INDEX(Pop_yearly_lookup!P:P, MATCH(About!$B$1, Pop_yearly_lookup!$A:$A, 0))/INDEX(Pop_yearly_lookup!$C:$C, MATCH(About!$B$1, Pop_yearly_lookup!$A:$A, 0)))/(INDEX(Pop_yearly_lookup!P:P, MATCH("United States", Pop_yearly_lookup!$A:$A, 0))/INDEX(Pop_yearly_lookup!$C:$C, MATCH("United States", Pop_yearly_lookup!$A:$A, 0)))</f>
        <v>1.0576748997482375</v>
      </c>
      <c r="Q13" s="66">
        <f>'BCDTRtSY-frgt-US'!Q2*(INDEX(Pop_yearly_lookup!Q:Q, MATCH(About!$B$1, Pop_yearly_lookup!$A:$A, 0))/INDEX(Pop_yearly_lookup!$C:$C, MATCH(About!$B$1, Pop_yearly_lookup!$A:$A, 0)))/(INDEX(Pop_yearly_lookup!Q:Q, MATCH("United States", Pop_yearly_lookup!$A:$A, 0))/INDEX(Pop_yearly_lookup!$C:$C, MATCH("United States", Pop_yearly_lookup!$A:$A, 0)))</f>
        <v>1.065926495061666</v>
      </c>
      <c r="R13" s="66">
        <f>'BCDTRtSY-frgt-US'!R2*(INDEX(Pop_yearly_lookup!R:R, MATCH(About!$B$1, Pop_yearly_lookup!$A:$A, 0))/INDEX(Pop_yearly_lookup!$C:$C, MATCH(About!$B$1, Pop_yearly_lookup!$A:$A, 0)))/(INDEX(Pop_yearly_lookup!R:R, MATCH("United States", Pop_yearly_lookup!$A:$A, 0))/INDEX(Pop_yearly_lookup!$C:$C, MATCH("United States", Pop_yearly_lookup!$A:$A, 0)))</f>
        <v>1.0746610867136679</v>
      </c>
      <c r="S13" s="66">
        <f>'BCDTRtSY-frgt-US'!S2*(INDEX(Pop_yearly_lookup!S:S, MATCH(About!$B$1, Pop_yearly_lookup!$A:$A, 0))/INDEX(Pop_yearly_lookup!$C:$C, MATCH(About!$B$1, Pop_yearly_lookup!$A:$A, 0)))/(INDEX(Pop_yearly_lookup!S:S, MATCH("United States", Pop_yearly_lookup!$A:$A, 0))/INDEX(Pop_yearly_lookup!$C:$C, MATCH("United States", Pop_yearly_lookup!$A:$A, 0)))</f>
        <v>1.0820866350856742</v>
      </c>
      <c r="T13" s="66">
        <f>'BCDTRtSY-frgt-US'!T2*(INDEX(Pop_yearly_lookup!T:T, MATCH(About!$B$1, Pop_yearly_lookup!$A:$A, 0))/INDEX(Pop_yearly_lookup!$C:$C, MATCH(About!$B$1, Pop_yearly_lookup!$A:$A, 0)))/(INDEX(Pop_yearly_lookup!T:T, MATCH("United States", Pop_yearly_lookup!$A:$A, 0))/INDEX(Pop_yearly_lookup!$C:$C, MATCH("United States", Pop_yearly_lookup!$A:$A, 0)))</f>
        <v>1.0888663963898106</v>
      </c>
      <c r="U13" s="66">
        <f>'BCDTRtSY-frgt-US'!U2*(INDEX(Pop_yearly_lookup!U:U, MATCH(About!$B$1, Pop_yearly_lookup!$A:$A, 0))/INDEX(Pop_yearly_lookup!$C:$C, MATCH(About!$B$1, Pop_yearly_lookup!$A:$A, 0)))/(INDEX(Pop_yearly_lookup!U:U, MATCH("United States", Pop_yearly_lookup!$A:$A, 0))/INDEX(Pop_yearly_lookup!$C:$C, MATCH("United States", Pop_yearly_lookup!$A:$A, 0)))</f>
        <v>1.0930777936433729</v>
      </c>
      <c r="V13" s="66">
        <f>'BCDTRtSY-frgt-US'!V2*(INDEX(Pop_yearly_lookup!V:V, MATCH(About!$B$1, Pop_yearly_lookup!$A:$A, 0))/INDEX(Pop_yearly_lookup!$C:$C, MATCH(About!$B$1, Pop_yearly_lookup!$A:$A, 0)))/(INDEX(Pop_yearly_lookup!V:V, MATCH("United States", Pop_yearly_lookup!$A:$A, 0))/INDEX(Pop_yearly_lookup!$C:$C, MATCH("United States", Pop_yearly_lookup!$A:$A, 0)))</f>
        <v>1.0969996167982687</v>
      </c>
      <c r="W13" s="66">
        <f>'BCDTRtSY-frgt-US'!W2*(INDEX(Pop_yearly_lookup!W:W, MATCH(About!$B$1, Pop_yearly_lookup!$A:$A, 0))/INDEX(Pop_yearly_lookup!$C:$C, MATCH(About!$B$1, Pop_yearly_lookup!$A:$A, 0)))/(INDEX(Pop_yearly_lookup!W:W, MATCH("United States", Pop_yearly_lookup!$A:$A, 0))/INDEX(Pop_yearly_lookup!$C:$C, MATCH("United States", Pop_yearly_lookup!$A:$A, 0)))</f>
        <v>1.1022357331679311</v>
      </c>
      <c r="X13" s="66">
        <f>'BCDTRtSY-frgt-US'!X2*(INDEX(Pop_yearly_lookup!X:X, MATCH(About!$B$1, Pop_yearly_lookup!$A:$A, 0))/INDEX(Pop_yearly_lookup!$C:$C, MATCH(About!$B$1, Pop_yearly_lookup!$A:$A, 0)))/(INDEX(Pop_yearly_lookup!X:X, MATCH("United States", Pop_yearly_lookup!$A:$A, 0))/INDEX(Pop_yearly_lookup!$C:$C, MATCH("United States", Pop_yearly_lookup!$A:$A, 0)))</f>
        <v>1.1079017551604484</v>
      </c>
      <c r="Y13" s="66">
        <f>'BCDTRtSY-frgt-US'!Y2*(INDEX(Pop_yearly_lookup!Y:Y, MATCH(About!$B$1, Pop_yearly_lookup!$A:$A, 0))/INDEX(Pop_yearly_lookup!$C:$C, MATCH(About!$B$1, Pop_yearly_lookup!$A:$A, 0)))/(INDEX(Pop_yearly_lookup!Y:Y, MATCH("United States", Pop_yearly_lookup!$A:$A, 0))/INDEX(Pop_yearly_lookup!$C:$C, MATCH("United States", Pop_yearly_lookup!$A:$A, 0)))</f>
        <v>1.1142062491682319</v>
      </c>
      <c r="Z13" s="66">
        <f>'BCDTRtSY-frgt-US'!Z2*(INDEX(Pop_yearly_lookup!Z:Z, MATCH(About!$B$1, Pop_yearly_lookup!$A:$A, 0))/INDEX(Pop_yearly_lookup!$C:$C, MATCH(About!$B$1, Pop_yearly_lookup!$A:$A, 0)))/(INDEX(Pop_yearly_lookup!Z:Z, MATCH("United States", Pop_yearly_lookup!$A:$A, 0))/INDEX(Pop_yearly_lookup!$C:$C, MATCH("United States", Pop_yearly_lookup!$A:$A, 0)))</f>
        <v>1.1192313495216673</v>
      </c>
      <c r="AA13" s="66">
        <f>'BCDTRtSY-frgt-US'!AA2*(INDEX(Pop_yearly_lookup!AA:AA, MATCH(About!$B$1, Pop_yearly_lookup!$A:$A, 0))/INDEX(Pop_yearly_lookup!$C:$C, MATCH(About!$B$1, Pop_yearly_lookup!$A:$A, 0)))/(INDEX(Pop_yearly_lookup!AA:AA, MATCH("United States", Pop_yearly_lookup!$A:$A, 0))/INDEX(Pop_yearly_lookup!$C:$C, MATCH("United States", Pop_yearly_lookup!$A:$A, 0)))</f>
        <v>1.1249867031929541</v>
      </c>
      <c r="AB13" s="66">
        <f>'BCDTRtSY-frgt-US'!AB2*(INDEX(Pop_yearly_lookup!AB:AB, MATCH(About!$B$1, Pop_yearly_lookup!$A:$A, 0))/INDEX(Pop_yearly_lookup!$C:$C, MATCH(About!$B$1, Pop_yearly_lookup!$A:$A, 0)))/(INDEX(Pop_yearly_lookup!AB:AB, MATCH("United States", Pop_yearly_lookup!$A:$A, 0))/INDEX(Pop_yearly_lookup!$C:$C, MATCH("United States", Pop_yearly_lookup!$A:$A, 0)))</f>
        <v>1.1299742917214775</v>
      </c>
    </row>
    <row r="14" spans="1:28">
      <c r="A14" t="s">
        <v>118</v>
      </c>
      <c r="B14" s="66">
        <f>'BCDTRtSY-frgt-US'!B3</f>
        <v>1</v>
      </c>
      <c r="C14" s="66">
        <f>'BCDTRtSY-frgt-US'!C3*(INDEX(Pop_yearly_lookup!C:C, MATCH(About!$B$1, Pop_yearly_lookup!$A:$A, 0))/INDEX(Pop_yearly_lookup!$C:$C, MATCH(About!$B$1, Pop_yearly_lookup!$A:$A, 0)))/(INDEX(Pop_yearly_lookup!C:C, MATCH("United States", Pop_yearly_lookup!$A:$A, 0))/INDEX(Pop_yearly_lookup!$C:$C, MATCH("United States", Pop_yearly_lookup!$A:$A, 0)))</f>
        <v>1</v>
      </c>
      <c r="D14" s="66">
        <f>'BCDTRtSY-frgt-US'!D3*(INDEX(Pop_yearly_lookup!D:D, MATCH(About!$B$1, Pop_yearly_lookup!$A:$A, 0))/INDEX(Pop_yearly_lookup!$C:$C, MATCH(About!$B$1, Pop_yearly_lookup!$A:$A, 0)))/(INDEX(Pop_yearly_lookup!D:D, MATCH("United States", Pop_yearly_lookup!$A:$A, 0))/INDEX(Pop_yearly_lookup!$C:$C, MATCH("United States", Pop_yearly_lookup!$A:$A, 0)))</f>
        <v>1.0130414503504761</v>
      </c>
      <c r="E14" s="66">
        <f>'BCDTRtSY-frgt-US'!E3*(INDEX(Pop_yearly_lookup!E:E, MATCH(About!$B$1, Pop_yearly_lookup!$A:$A, 0))/INDEX(Pop_yearly_lookup!$C:$C, MATCH(About!$B$1, Pop_yearly_lookup!$A:$A, 0)))/(INDEX(Pop_yearly_lookup!E:E, MATCH("United States", Pop_yearly_lookup!$A:$A, 0))/INDEX(Pop_yearly_lookup!$C:$C, MATCH("United States", Pop_yearly_lookup!$A:$A, 0)))</f>
        <v>1.0303791982899881</v>
      </c>
      <c r="F14" s="66">
        <f>'BCDTRtSY-frgt-US'!F3*(INDEX(Pop_yearly_lookup!F:F, MATCH(About!$B$1, Pop_yearly_lookup!$A:$A, 0))/INDEX(Pop_yearly_lookup!$C:$C, MATCH(About!$B$1, Pop_yearly_lookup!$A:$A, 0)))/(INDEX(Pop_yearly_lookup!F:F, MATCH("United States", Pop_yearly_lookup!$A:$A, 0))/INDEX(Pop_yearly_lookup!$C:$C, MATCH("United States", Pop_yearly_lookup!$A:$A, 0)))</f>
        <v>1.0469045173057363</v>
      </c>
      <c r="G14" s="66">
        <f>'BCDTRtSY-frgt-US'!G3*(INDEX(Pop_yearly_lookup!G:G, MATCH(About!$B$1, Pop_yearly_lookup!$A:$A, 0))/INDEX(Pop_yearly_lookup!$C:$C, MATCH(About!$B$1, Pop_yearly_lookup!$A:$A, 0)))/(INDEX(Pop_yearly_lookup!G:G, MATCH("United States", Pop_yearly_lookup!$A:$A, 0))/INDEX(Pop_yearly_lookup!$C:$C, MATCH("United States", Pop_yearly_lookup!$A:$A, 0)))</f>
        <v>1.0608615915916739</v>
      </c>
      <c r="H14" s="66">
        <f>'BCDTRtSY-frgt-US'!H3*(INDEX(Pop_yearly_lookup!H:H, MATCH(About!$B$1, Pop_yearly_lookup!$A:$A, 0))/INDEX(Pop_yearly_lookup!$C:$C, MATCH(About!$B$1, Pop_yearly_lookup!$A:$A, 0)))/(INDEX(Pop_yearly_lookup!H:H, MATCH("United States", Pop_yearly_lookup!$A:$A, 0))/INDEX(Pop_yearly_lookup!$C:$C, MATCH("United States", Pop_yearly_lookup!$A:$A, 0)))</f>
        <v>1.0772655884134374</v>
      </c>
      <c r="I14" s="66">
        <f>'BCDTRtSY-frgt-US'!I3*(INDEX(Pop_yearly_lookup!I:I, MATCH(About!$B$1, Pop_yearly_lookup!$A:$A, 0))/INDEX(Pop_yearly_lookup!$C:$C, MATCH(About!$B$1, Pop_yearly_lookup!$A:$A, 0)))/(INDEX(Pop_yearly_lookup!I:I, MATCH("United States", Pop_yearly_lookup!$A:$A, 0))/INDEX(Pop_yearly_lookup!$C:$C, MATCH("United States", Pop_yearly_lookup!$A:$A, 0)))</f>
        <v>1.0828045472348806</v>
      </c>
      <c r="J14" s="66">
        <f>'BCDTRtSY-frgt-US'!J3*(INDEX(Pop_yearly_lookup!J:J, MATCH(About!$B$1, Pop_yearly_lookup!$A:$A, 0))/INDEX(Pop_yearly_lookup!$C:$C, MATCH(About!$B$1, Pop_yearly_lookup!$A:$A, 0)))/(INDEX(Pop_yearly_lookup!J:J, MATCH("United States", Pop_yearly_lookup!$A:$A, 0))/INDEX(Pop_yearly_lookup!$C:$C, MATCH("United States", Pop_yearly_lookup!$A:$A, 0)))</f>
        <v>1.0892390214730838</v>
      </c>
      <c r="K14" s="66">
        <f>'BCDTRtSY-frgt-US'!K3*(INDEX(Pop_yearly_lookup!K:K, MATCH(About!$B$1, Pop_yearly_lookup!$A:$A, 0))/INDEX(Pop_yearly_lookup!$C:$C, MATCH(About!$B$1, Pop_yearly_lookup!$A:$A, 0)))/(INDEX(Pop_yearly_lookup!K:K, MATCH("United States", Pop_yearly_lookup!$A:$A, 0))/INDEX(Pop_yearly_lookup!$C:$C, MATCH("United States", Pop_yearly_lookup!$A:$A, 0)))</f>
        <v>1.0934370618167559</v>
      </c>
      <c r="L14" s="66">
        <f>'BCDTRtSY-frgt-US'!L3*(INDEX(Pop_yearly_lookup!L:L, MATCH(About!$B$1, Pop_yearly_lookup!$A:$A, 0))/INDEX(Pop_yearly_lookup!$C:$C, MATCH(About!$B$1, Pop_yearly_lookup!$A:$A, 0)))/(INDEX(Pop_yearly_lookup!L:L, MATCH("United States", Pop_yearly_lookup!$A:$A, 0))/INDEX(Pop_yearly_lookup!$C:$C, MATCH("United States", Pop_yearly_lookup!$A:$A, 0)))</f>
        <v>1.0988784030714545</v>
      </c>
      <c r="M14" s="66">
        <f>'BCDTRtSY-frgt-US'!M3*(INDEX(Pop_yearly_lookup!M:M, MATCH(About!$B$1, Pop_yearly_lookup!$A:$A, 0))/INDEX(Pop_yearly_lookup!$C:$C, MATCH(About!$B$1, Pop_yearly_lookup!$A:$A, 0)))/(INDEX(Pop_yearly_lookup!M:M, MATCH("United States", Pop_yearly_lookup!$A:$A, 0))/INDEX(Pop_yearly_lookup!$C:$C, MATCH("United States", Pop_yearly_lookup!$A:$A, 0)))</f>
        <v>1.1041581219536909</v>
      </c>
      <c r="N14" s="66">
        <f>'BCDTRtSY-frgt-US'!N3*(INDEX(Pop_yearly_lookup!N:N, MATCH(About!$B$1, Pop_yearly_lookup!$A:$A, 0))/INDEX(Pop_yearly_lookup!$C:$C, MATCH(About!$B$1, Pop_yearly_lookup!$A:$A, 0)))/(INDEX(Pop_yearly_lookup!N:N, MATCH("United States", Pop_yearly_lookup!$A:$A, 0))/INDEX(Pop_yearly_lookup!$C:$C, MATCH("United States", Pop_yearly_lookup!$A:$A, 0)))</f>
        <v>1.1086099220139249</v>
      </c>
      <c r="O14" s="66">
        <f>'BCDTRtSY-frgt-US'!O3*(INDEX(Pop_yearly_lookup!O:O, MATCH(About!$B$1, Pop_yearly_lookup!$A:$A, 0))/INDEX(Pop_yearly_lookup!$C:$C, MATCH(About!$B$1, Pop_yearly_lookup!$A:$A, 0)))/(INDEX(Pop_yearly_lookup!O:O, MATCH("United States", Pop_yearly_lookup!$A:$A, 0))/INDEX(Pop_yearly_lookup!$C:$C, MATCH("United States", Pop_yearly_lookup!$A:$A, 0)))</f>
        <v>1.1123425603889121</v>
      </c>
      <c r="P14" s="66">
        <f>'BCDTRtSY-frgt-US'!P3*(INDEX(Pop_yearly_lookup!P:P, MATCH(About!$B$1, Pop_yearly_lookup!$A:$A, 0))/INDEX(Pop_yearly_lookup!$C:$C, MATCH(About!$B$1, Pop_yearly_lookup!$A:$A, 0)))/(INDEX(Pop_yearly_lookup!P:P, MATCH("United States", Pop_yearly_lookup!$A:$A, 0))/INDEX(Pop_yearly_lookup!$C:$C, MATCH("United States", Pop_yearly_lookup!$A:$A, 0)))</f>
        <v>1.1150478958608649</v>
      </c>
      <c r="Q14" s="66">
        <f>'BCDTRtSY-frgt-US'!Q3*(INDEX(Pop_yearly_lookup!Q:Q, MATCH(About!$B$1, Pop_yearly_lookup!$A:$A, 0))/INDEX(Pop_yearly_lookup!$C:$C, MATCH(About!$B$1, Pop_yearly_lookup!$A:$A, 0)))/(INDEX(Pop_yearly_lookup!Q:Q, MATCH("United States", Pop_yearly_lookup!$A:$A, 0))/INDEX(Pop_yearly_lookup!$C:$C, MATCH("United States", Pop_yearly_lookup!$A:$A, 0)))</f>
        <v>1.1171723128010169</v>
      </c>
      <c r="R14" s="66">
        <f>'BCDTRtSY-frgt-US'!R3*(INDEX(Pop_yearly_lookup!R:R, MATCH(About!$B$1, Pop_yearly_lookup!$A:$A, 0))/INDEX(Pop_yearly_lookup!$C:$C, MATCH(About!$B$1, Pop_yearly_lookup!$A:$A, 0)))/(INDEX(Pop_yearly_lookup!R:R, MATCH("United States", Pop_yearly_lookup!$A:$A, 0))/INDEX(Pop_yearly_lookup!$C:$C, MATCH("United States", Pop_yearly_lookup!$A:$A, 0)))</f>
        <v>1.1194622943130976</v>
      </c>
      <c r="S14" s="66">
        <f>'BCDTRtSY-frgt-US'!S3*(INDEX(Pop_yearly_lookup!S:S, MATCH(About!$B$1, Pop_yearly_lookup!$A:$A, 0))/INDEX(Pop_yearly_lookup!$C:$C, MATCH(About!$B$1, Pop_yearly_lookup!$A:$A, 0)))/(INDEX(Pop_yearly_lookup!S:S, MATCH("United States", Pop_yearly_lookup!$A:$A, 0))/INDEX(Pop_yearly_lookup!$C:$C, MATCH("United States", Pop_yearly_lookup!$A:$A, 0)))</f>
        <v>1.1211756172292382</v>
      </c>
      <c r="T14" s="66">
        <f>'BCDTRtSY-frgt-US'!T3*(INDEX(Pop_yearly_lookup!T:T, MATCH(About!$B$1, Pop_yearly_lookup!$A:$A, 0))/INDEX(Pop_yearly_lookup!$C:$C, MATCH(About!$B$1, Pop_yearly_lookup!$A:$A, 0)))/(INDEX(Pop_yearly_lookup!T:T, MATCH("United States", Pop_yearly_lookup!$A:$A, 0))/INDEX(Pop_yearly_lookup!$C:$C, MATCH("United States", Pop_yearly_lookup!$A:$A, 0)))</f>
        <v>1.1223450494408818</v>
      </c>
      <c r="U14" s="66">
        <f>'BCDTRtSY-frgt-US'!U3*(INDEX(Pop_yearly_lookup!U:U, MATCH(About!$B$1, Pop_yearly_lookup!$A:$A, 0))/INDEX(Pop_yearly_lookup!$C:$C, MATCH(About!$B$1, Pop_yearly_lookup!$A:$A, 0)))/(INDEX(Pop_yearly_lookup!U:U, MATCH("United States", Pop_yearly_lookup!$A:$A, 0))/INDEX(Pop_yearly_lookup!$C:$C, MATCH("United States", Pop_yearly_lookup!$A:$A, 0)))</f>
        <v>1.1224937224992368</v>
      </c>
      <c r="V14" s="66">
        <f>'BCDTRtSY-frgt-US'!V3*(INDEX(Pop_yearly_lookup!V:V, MATCH(About!$B$1, Pop_yearly_lookup!$A:$A, 0))/INDEX(Pop_yearly_lookup!$C:$C, MATCH(About!$B$1, Pop_yearly_lookup!$A:$A, 0)))/(INDEX(Pop_yearly_lookup!V:V, MATCH("United States", Pop_yearly_lookup!$A:$A, 0))/INDEX(Pop_yearly_lookup!$C:$C, MATCH("United States", Pop_yearly_lookup!$A:$A, 0)))</f>
        <v>1.1229419630981796</v>
      </c>
      <c r="W14" s="66">
        <f>'BCDTRtSY-frgt-US'!W3*(INDEX(Pop_yearly_lookup!W:W, MATCH(About!$B$1, Pop_yearly_lookup!$A:$A, 0))/INDEX(Pop_yearly_lookup!$C:$C, MATCH(About!$B$1, Pop_yearly_lookup!$A:$A, 0)))/(INDEX(Pop_yearly_lookup!W:W, MATCH("United States", Pop_yearly_lookup!$A:$A, 0))/INDEX(Pop_yearly_lookup!$C:$C, MATCH("United States", Pop_yearly_lookup!$A:$A, 0)))</f>
        <v>1.1252191077245863</v>
      </c>
      <c r="X14" s="66">
        <f>'BCDTRtSY-frgt-US'!X3*(INDEX(Pop_yearly_lookup!X:X, MATCH(About!$B$1, Pop_yearly_lookup!$A:$A, 0))/INDEX(Pop_yearly_lookup!$C:$C, MATCH(About!$B$1, Pop_yearly_lookup!$A:$A, 0)))/(INDEX(Pop_yearly_lookup!X:X, MATCH("United States", Pop_yearly_lookup!$A:$A, 0))/INDEX(Pop_yearly_lookup!$C:$C, MATCH("United States", Pop_yearly_lookup!$A:$A, 0)))</f>
        <v>1.1276807811568481</v>
      </c>
      <c r="Y14" s="66">
        <f>'BCDTRtSY-frgt-US'!Y3*(INDEX(Pop_yearly_lookup!Y:Y, MATCH(About!$B$1, Pop_yearly_lookup!$A:$A, 0))/INDEX(Pop_yearly_lookup!$C:$C, MATCH(About!$B$1, Pop_yearly_lookup!$A:$A, 0)))/(INDEX(Pop_yearly_lookup!Y:Y, MATCH("United States", Pop_yearly_lookup!$A:$A, 0))/INDEX(Pop_yearly_lookup!$C:$C, MATCH("United States", Pop_yearly_lookup!$A:$A, 0)))</f>
        <v>1.1300266284376856</v>
      </c>
      <c r="Z14" s="66">
        <f>'BCDTRtSY-frgt-US'!Z3*(INDEX(Pop_yearly_lookup!Z:Z, MATCH(About!$B$1, Pop_yearly_lookup!$A:$A, 0))/INDEX(Pop_yearly_lookup!$C:$C, MATCH(About!$B$1, Pop_yearly_lookup!$A:$A, 0)))/(INDEX(Pop_yearly_lookup!Z:Z, MATCH("United States", Pop_yearly_lookup!$A:$A, 0))/INDEX(Pop_yearly_lookup!$C:$C, MATCH("United States", Pop_yearly_lookup!$A:$A, 0)))</f>
        <v>1.1302764692864689</v>
      </c>
      <c r="AA14" s="66">
        <f>'BCDTRtSY-frgt-US'!AA3*(INDEX(Pop_yearly_lookup!AA:AA, MATCH(About!$B$1, Pop_yearly_lookup!$A:$A, 0))/INDEX(Pop_yearly_lookup!$C:$C, MATCH(About!$B$1, Pop_yearly_lookup!$A:$A, 0)))/(INDEX(Pop_yearly_lookup!AA:AA, MATCH("United States", Pop_yearly_lookup!$A:$A, 0))/INDEX(Pop_yearly_lookup!$C:$C, MATCH("United States", Pop_yearly_lookup!$A:$A, 0)))</f>
        <v>1.1304392883856544</v>
      </c>
      <c r="AB14" s="66">
        <f>'BCDTRtSY-frgt-US'!AB3*(INDEX(Pop_yearly_lookup!AB:AB, MATCH(About!$B$1, Pop_yearly_lookup!$A:$A, 0))/INDEX(Pop_yearly_lookup!$C:$C, MATCH(About!$B$1, Pop_yearly_lookup!$A:$A, 0)))/(INDEX(Pop_yearly_lookup!AB:AB, MATCH("United States", Pop_yearly_lookup!$A:$A, 0))/INDEX(Pop_yearly_lookup!$C:$C, MATCH("United States", Pop_yearly_lookup!$A:$A, 0)))</f>
        <v>1.1300418043630007</v>
      </c>
    </row>
    <row r="15" spans="1:28">
      <c r="A15" t="s">
        <v>116</v>
      </c>
      <c r="B15" s="66">
        <f>'BCDTRtSY-frgt-US'!B4</f>
        <v>1</v>
      </c>
      <c r="C15" s="66">
        <f>'BCDTRtSY-frgt-US'!C4*(INDEX(Pop_yearly_lookup!C:C, MATCH(About!$B$1, Pop_yearly_lookup!$A:$A, 0))/INDEX(Pop_yearly_lookup!$C:$C, MATCH(About!$B$1, Pop_yearly_lookup!$A:$A, 0)))/(INDEX(Pop_yearly_lookup!C:C, MATCH("United States", Pop_yearly_lookup!$A:$A, 0))/INDEX(Pop_yearly_lookup!$C:$C, MATCH("United States", Pop_yearly_lookup!$A:$A, 0)))</f>
        <v>1</v>
      </c>
      <c r="D15" s="66">
        <f>'BCDTRtSY-frgt-US'!D4*(INDEX(Pop_yearly_lookup!D:D, MATCH(About!$B$1, Pop_yearly_lookup!$A:$A, 0))/INDEX(Pop_yearly_lookup!$C:$C, MATCH(About!$B$1, Pop_yearly_lookup!$A:$A, 0)))/(INDEX(Pop_yearly_lookup!D:D, MATCH("United States", Pop_yearly_lookup!$A:$A, 0))/INDEX(Pop_yearly_lookup!$C:$C, MATCH("United States", Pop_yearly_lookup!$A:$A, 0)))</f>
        <v>1.0291478815169797</v>
      </c>
      <c r="E15" s="66">
        <f>'BCDTRtSY-frgt-US'!E4*(INDEX(Pop_yearly_lookup!E:E, MATCH(About!$B$1, Pop_yearly_lookup!$A:$A, 0))/INDEX(Pop_yearly_lookup!$C:$C, MATCH(About!$B$1, Pop_yearly_lookup!$A:$A, 0)))/(INDEX(Pop_yearly_lookup!E:E, MATCH("United States", Pop_yearly_lookup!$A:$A, 0))/INDEX(Pop_yearly_lookup!$C:$C, MATCH("United States", Pop_yearly_lookup!$A:$A, 0)))</f>
        <v>1.0506067219921569</v>
      </c>
      <c r="F15" s="66">
        <f>'BCDTRtSY-frgt-US'!F4*(INDEX(Pop_yearly_lookup!F:F, MATCH(About!$B$1, Pop_yearly_lookup!$A:$A, 0))/INDEX(Pop_yearly_lookup!$C:$C, MATCH(About!$B$1, Pop_yearly_lookup!$A:$A, 0)))/(INDEX(Pop_yearly_lookup!F:F, MATCH("United States", Pop_yearly_lookup!$A:$A, 0))/INDEX(Pop_yearly_lookup!$C:$C, MATCH("United States", Pop_yearly_lookup!$A:$A, 0)))</f>
        <v>1.0656336483747673</v>
      </c>
      <c r="G15" s="66">
        <f>'BCDTRtSY-frgt-US'!G4*(INDEX(Pop_yearly_lookup!G:G, MATCH(About!$B$1, Pop_yearly_lookup!$A:$A, 0))/INDEX(Pop_yearly_lookup!$C:$C, MATCH(About!$B$1, Pop_yearly_lookup!$A:$A, 0)))/(INDEX(Pop_yearly_lookup!G:G, MATCH("United States", Pop_yearly_lookup!$A:$A, 0))/INDEX(Pop_yearly_lookup!$C:$C, MATCH("United States", Pop_yearly_lookup!$A:$A, 0)))</f>
        <v>1.0844413843139273</v>
      </c>
      <c r="H15" s="66">
        <f>'BCDTRtSY-frgt-US'!H4*(INDEX(Pop_yearly_lookup!H:H, MATCH(About!$B$1, Pop_yearly_lookup!$A:$A, 0))/INDEX(Pop_yearly_lookup!$C:$C, MATCH(About!$B$1, Pop_yearly_lookup!$A:$A, 0)))/(INDEX(Pop_yearly_lookup!H:H, MATCH("United States", Pop_yearly_lookup!$A:$A, 0))/INDEX(Pop_yearly_lookup!$C:$C, MATCH("United States", Pop_yearly_lookup!$A:$A, 0)))</f>
        <v>1.1063316686548834</v>
      </c>
      <c r="I15" s="66">
        <f>'BCDTRtSY-frgt-US'!I4*(INDEX(Pop_yearly_lookup!I:I, MATCH(About!$B$1, Pop_yearly_lookup!$A:$A, 0))/INDEX(Pop_yearly_lookup!$C:$C, MATCH(About!$B$1, Pop_yearly_lookup!$A:$A, 0)))/(INDEX(Pop_yearly_lookup!I:I, MATCH("United States", Pop_yearly_lookup!$A:$A, 0))/INDEX(Pop_yearly_lookup!$C:$C, MATCH("United States", Pop_yearly_lookup!$A:$A, 0)))</f>
        <v>1.1212746813177104</v>
      </c>
      <c r="J15" s="66">
        <f>'BCDTRtSY-frgt-US'!J4*(INDEX(Pop_yearly_lookup!J:J, MATCH(About!$B$1, Pop_yearly_lookup!$A:$A, 0))/INDEX(Pop_yearly_lookup!$C:$C, MATCH(About!$B$1, Pop_yearly_lookup!$A:$A, 0)))/(INDEX(Pop_yearly_lookup!J:J, MATCH("United States", Pop_yearly_lookup!$A:$A, 0))/INDEX(Pop_yearly_lookup!$C:$C, MATCH("United States", Pop_yearly_lookup!$A:$A, 0)))</f>
        <v>1.1392721407947972</v>
      </c>
      <c r="K15" s="66">
        <f>'BCDTRtSY-frgt-US'!K4*(INDEX(Pop_yearly_lookup!K:K, MATCH(About!$B$1, Pop_yearly_lookup!$A:$A, 0))/INDEX(Pop_yearly_lookup!$C:$C, MATCH(About!$B$1, Pop_yearly_lookup!$A:$A, 0)))/(INDEX(Pop_yearly_lookup!K:K, MATCH("United States", Pop_yearly_lookup!$A:$A, 0))/INDEX(Pop_yearly_lookup!$C:$C, MATCH("United States", Pop_yearly_lookup!$A:$A, 0)))</f>
        <v>1.1586466776506215</v>
      </c>
      <c r="L15" s="66">
        <f>'BCDTRtSY-frgt-US'!L4*(INDEX(Pop_yearly_lookup!L:L, MATCH(About!$B$1, Pop_yearly_lookup!$A:$A, 0))/INDEX(Pop_yearly_lookup!$C:$C, MATCH(About!$B$1, Pop_yearly_lookup!$A:$A, 0)))/(INDEX(Pop_yearly_lookup!L:L, MATCH("United States", Pop_yearly_lookup!$A:$A, 0))/INDEX(Pop_yearly_lookup!$C:$C, MATCH("United States", Pop_yearly_lookup!$A:$A, 0)))</f>
        <v>1.1796958695164899</v>
      </c>
      <c r="M15" s="66">
        <f>'BCDTRtSY-frgt-US'!M4*(INDEX(Pop_yearly_lookup!M:M, MATCH(About!$B$1, Pop_yearly_lookup!$A:$A, 0))/INDEX(Pop_yearly_lookup!$C:$C, MATCH(About!$B$1, Pop_yearly_lookup!$A:$A, 0)))/(INDEX(Pop_yearly_lookup!M:M, MATCH("United States", Pop_yearly_lookup!$A:$A, 0))/INDEX(Pop_yearly_lookup!$C:$C, MATCH("United States", Pop_yearly_lookup!$A:$A, 0)))</f>
        <v>1.2025230026775553</v>
      </c>
      <c r="N15" s="66">
        <f>'BCDTRtSY-frgt-US'!N4*(INDEX(Pop_yearly_lookup!N:N, MATCH(About!$B$1, Pop_yearly_lookup!$A:$A, 0))/INDEX(Pop_yearly_lookup!$C:$C, MATCH(About!$B$1, Pop_yearly_lookup!$A:$A, 0)))/(INDEX(Pop_yearly_lookup!N:N, MATCH("United States", Pop_yearly_lookup!$A:$A, 0))/INDEX(Pop_yearly_lookup!$C:$C, MATCH("United States", Pop_yearly_lookup!$A:$A, 0)))</f>
        <v>1.2207427581813923</v>
      </c>
      <c r="O15" s="66">
        <f>'BCDTRtSY-frgt-US'!O4*(INDEX(Pop_yearly_lookup!O:O, MATCH(About!$B$1, Pop_yearly_lookup!$A:$A, 0))/INDEX(Pop_yearly_lookup!$C:$C, MATCH(About!$B$1, Pop_yearly_lookup!$A:$A, 0)))/(INDEX(Pop_yearly_lookup!O:O, MATCH("United States", Pop_yearly_lookup!$A:$A, 0))/INDEX(Pop_yearly_lookup!$C:$C, MATCH("United States", Pop_yearly_lookup!$A:$A, 0)))</f>
        <v>1.2390536688022518</v>
      </c>
      <c r="P15" s="66">
        <f>'BCDTRtSY-frgt-US'!P4*(INDEX(Pop_yearly_lookup!P:P, MATCH(About!$B$1, Pop_yearly_lookup!$A:$A, 0))/INDEX(Pop_yearly_lookup!$C:$C, MATCH(About!$B$1, Pop_yearly_lookup!$A:$A, 0)))/(INDEX(Pop_yearly_lookup!P:P, MATCH("United States", Pop_yearly_lookup!$A:$A, 0))/INDEX(Pop_yearly_lookup!$C:$C, MATCH("United States", Pop_yearly_lookup!$A:$A, 0)))</f>
        <v>1.2572315613826779</v>
      </c>
      <c r="Q15" s="66">
        <f>'BCDTRtSY-frgt-US'!Q4*(INDEX(Pop_yearly_lookup!Q:Q, MATCH(About!$B$1, Pop_yearly_lookup!$A:$A, 0))/INDEX(Pop_yearly_lookup!$C:$C, MATCH(About!$B$1, Pop_yearly_lookup!$A:$A, 0)))/(INDEX(Pop_yearly_lookup!Q:Q, MATCH("United States", Pop_yearly_lookup!$A:$A, 0))/INDEX(Pop_yearly_lookup!$C:$C, MATCH("United States", Pop_yearly_lookup!$A:$A, 0)))</f>
        <v>1.2747675711424258</v>
      </c>
      <c r="R15" s="66">
        <f>'BCDTRtSY-frgt-US'!R4*(INDEX(Pop_yearly_lookup!R:R, MATCH(About!$B$1, Pop_yearly_lookup!$A:$A, 0))/INDEX(Pop_yearly_lookup!$C:$C, MATCH(About!$B$1, Pop_yearly_lookup!$A:$A, 0)))/(INDEX(Pop_yearly_lookup!R:R, MATCH("United States", Pop_yearly_lookup!$A:$A, 0))/INDEX(Pop_yearly_lookup!$C:$C, MATCH("United States", Pop_yearly_lookup!$A:$A, 0)))</f>
        <v>1.2926455887126711</v>
      </c>
      <c r="S15" s="66">
        <f>'BCDTRtSY-frgt-US'!S4*(INDEX(Pop_yearly_lookup!S:S, MATCH(About!$B$1, Pop_yearly_lookup!$A:$A, 0))/INDEX(Pop_yearly_lookup!$C:$C, MATCH(About!$B$1, Pop_yearly_lookup!$A:$A, 0)))/(INDEX(Pop_yearly_lookup!S:S, MATCH("United States", Pop_yearly_lookup!$A:$A, 0))/INDEX(Pop_yearly_lookup!$C:$C, MATCH("United States", Pop_yearly_lookup!$A:$A, 0)))</f>
        <v>1.3092400391593841</v>
      </c>
      <c r="T15" s="66">
        <f>'BCDTRtSY-frgt-US'!T4*(INDEX(Pop_yearly_lookup!T:T, MATCH(About!$B$1, Pop_yearly_lookup!$A:$A, 0))/INDEX(Pop_yearly_lookup!$C:$C, MATCH(About!$B$1, Pop_yearly_lookup!$A:$A, 0)))/(INDEX(Pop_yearly_lookup!T:T, MATCH("United States", Pop_yearly_lookup!$A:$A, 0))/INDEX(Pop_yearly_lookup!$C:$C, MATCH("United States", Pop_yearly_lookup!$A:$A, 0)))</f>
        <v>1.3265577892625668</v>
      </c>
      <c r="U15" s="66">
        <f>'BCDTRtSY-frgt-US'!U4*(INDEX(Pop_yearly_lookup!U:U, MATCH(About!$B$1, Pop_yearly_lookup!$A:$A, 0))/INDEX(Pop_yearly_lookup!$C:$C, MATCH(About!$B$1, Pop_yearly_lookup!$A:$A, 0)))/(INDEX(Pop_yearly_lookup!U:U, MATCH("United States", Pop_yearly_lookup!$A:$A, 0))/INDEX(Pop_yearly_lookup!$C:$C, MATCH("United States", Pop_yearly_lookup!$A:$A, 0)))</f>
        <v>1.3447589905576862</v>
      </c>
      <c r="V15" s="66">
        <f>'BCDTRtSY-frgt-US'!V4*(INDEX(Pop_yearly_lookup!V:V, MATCH(About!$B$1, Pop_yearly_lookup!$A:$A, 0))/INDEX(Pop_yearly_lookup!$C:$C, MATCH(About!$B$1, Pop_yearly_lookup!$A:$A, 0)))/(INDEX(Pop_yearly_lookup!V:V, MATCH("United States", Pop_yearly_lookup!$A:$A, 0))/INDEX(Pop_yearly_lookup!$C:$C, MATCH("United States", Pop_yearly_lookup!$A:$A, 0)))</f>
        <v>1.3629013603160316</v>
      </c>
      <c r="W15" s="66">
        <f>'BCDTRtSY-frgt-US'!W4*(INDEX(Pop_yearly_lookup!W:W, MATCH(About!$B$1, Pop_yearly_lookup!$A:$A, 0))/INDEX(Pop_yearly_lookup!$C:$C, MATCH(About!$B$1, Pop_yearly_lookup!$A:$A, 0)))/(INDEX(Pop_yearly_lookup!W:W, MATCH("United States", Pop_yearly_lookup!$A:$A, 0))/INDEX(Pop_yearly_lookup!$C:$C, MATCH("United States", Pop_yearly_lookup!$A:$A, 0)))</f>
        <v>1.3811241019586484</v>
      </c>
      <c r="X15" s="66">
        <f>'BCDTRtSY-frgt-US'!X4*(INDEX(Pop_yearly_lookup!X:X, MATCH(About!$B$1, Pop_yearly_lookup!$A:$A, 0))/INDEX(Pop_yearly_lookup!$C:$C, MATCH(About!$B$1, Pop_yearly_lookup!$A:$A, 0)))/(INDEX(Pop_yearly_lookup!X:X, MATCH("United States", Pop_yearly_lookup!$A:$A, 0))/INDEX(Pop_yearly_lookup!$C:$C, MATCH("United States", Pop_yearly_lookup!$A:$A, 0)))</f>
        <v>1.3986668866224434</v>
      </c>
      <c r="Y15" s="66">
        <f>'BCDTRtSY-frgt-US'!Y4*(INDEX(Pop_yearly_lookup!Y:Y, MATCH(About!$B$1, Pop_yearly_lookup!$A:$A, 0))/INDEX(Pop_yearly_lookup!$C:$C, MATCH(About!$B$1, Pop_yearly_lookup!$A:$A, 0)))/(INDEX(Pop_yearly_lookup!Y:Y, MATCH("United States", Pop_yearly_lookup!$A:$A, 0))/INDEX(Pop_yearly_lookup!$C:$C, MATCH("United States", Pop_yearly_lookup!$A:$A, 0)))</f>
        <v>1.4148954172034576</v>
      </c>
      <c r="Z15" s="66">
        <f>'BCDTRtSY-frgt-US'!Z4*(INDEX(Pop_yearly_lookup!Z:Z, MATCH(About!$B$1, Pop_yearly_lookup!$A:$A, 0))/INDEX(Pop_yearly_lookup!$C:$C, MATCH(About!$B$1, Pop_yearly_lookup!$A:$A, 0)))/(INDEX(Pop_yearly_lookup!Z:Z, MATCH("United States", Pop_yearly_lookup!$A:$A, 0))/INDEX(Pop_yearly_lookup!$C:$C, MATCH("United States", Pop_yearly_lookup!$A:$A, 0)))</f>
        <v>1.4312516913609628</v>
      </c>
      <c r="AA15" s="66">
        <f>'BCDTRtSY-frgt-US'!AA4*(INDEX(Pop_yearly_lookup!AA:AA, MATCH(About!$B$1, Pop_yearly_lookup!$A:$A, 0))/INDEX(Pop_yearly_lookup!$C:$C, MATCH(About!$B$1, Pop_yearly_lookup!$A:$A, 0)))/(INDEX(Pop_yearly_lookup!AA:AA, MATCH("United States", Pop_yearly_lookup!$A:$A, 0))/INDEX(Pop_yearly_lookup!$C:$C, MATCH("United States", Pop_yearly_lookup!$A:$A, 0)))</f>
        <v>1.4469108129208512</v>
      </c>
      <c r="AB15" s="66">
        <f>'BCDTRtSY-frgt-US'!AB4*(INDEX(Pop_yearly_lookup!AB:AB, MATCH(About!$B$1, Pop_yearly_lookup!$A:$A, 0))/INDEX(Pop_yearly_lookup!$C:$C, MATCH(About!$B$1, Pop_yearly_lookup!$A:$A, 0)))/(INDEX(Pop_yearly_lookup!AB:AB, MATCH("United States", Pop_yearly_lookup!$A:$A, 0))/INDEX(Pop_yearly_lookup!$C:$C, MATCH("United States", Pop_yearly_lookup!$A:$A, 0)))</f>
        <v>1.4629251016794915</v>
      </c>
    </row>
    <row r="16" spans="1:28">
      <c r="A16" t="s">
        <v>121</v>
      </c>
      <c r="B16" s="66">
        <f>'BCDTRtSY-frgt-US'!B5</f>
        <v>1</v>
      </c>
      <c r="C16" s="66">
        <f>'BCDTRtSY-frgt-US'!C5*(INDEX(Pop_yearly_lookup!C:C, MATCH(About!$B$1, Pop_yearly_lookup!$A:$A, 0))/INDEX(Pop_yearly_lookup!$C:$C, MATCH(About!$B$1, Pop_yearly_lookup!$A:$A, 0)))/(INDEX(Pop_yearly_lookup!C:C, MATCH("United States", Pop_yearly_lookup!$A:$A, 0))/INDEX(Pop_yearly_lookup!$C:$C, MATCH("United States", Pop_yearly_lookup!$A:$A, 0)))</f>
        <v>1</v>
      </c>
      <c r="D16" s="66">
        <f>'BCDTRtSY-frgt-US'!D5*(INDEX(Pop_yearly_lookup!D:D, MATCH(About!$B$1, Pop_yearly_lookup!$A:$A, 0))/INDEX(Pop_yearly_lookup!$C:$C, MATCH(About!$B$1, Pop_yearly_lookup!$A:$A, 0)))/(INDEX(Pop_yearly_lookup!D:D, MATCH("United States", Pop_yearly_lookup!$A:$A, 0))/INDEX(Pop_yearly_lookup!$C:$C, MATCH("United States", Pop_yearly_lookup!$A:$A, 0)))</f>
        <v>0.97947668934935983</v>
      </c>
      <c r="E16" s="66">
        <f>'BCDTRtSY-frgt-US'!E5*(INDEX(Pop_yearly_lookup!E:E, MATCH(About!$B$1, Pop_yearly_lookup!$A:$A, 0))/INDEX(Pop_yearly_lookup!$C:$C, MATCH(About!$B$1, Pop_yearly_lookup!$A:$A, 0)))/(INDEX(Pop_yearly_lookup!E:E, MATCH("United States", Pop_yearly_lookup!$A:$A, 0))/INDEX(Pop_yearly_lookup!$C:$C, MATCH("United States", Pop_yearly_lookup!$A:$A, 0)))</f>
        <v>1.0133044251323582</v>
      </c>
      <c r="F16" s="66">
        <f>'BCDTRtSY-frgt-US'!F5*(INDEX(Pop_yearly_lookup!F:F, MATCH(About!$B$1, Pop_yearly_lookup!$A:$A, 0))/INDEX(Pop_yearly_lookup!$C:$C, MATCH(About!$B$1, Pop_yearly_lookup!$A:$A, 0)))/(INDEX(Pop_yearly_lookup!F:F, MATCH("United States", Pop_yearly_lookup!$A:$A, 0))/INDEX(Pop_yearly_lookup!$C:$C, MATCH("United States", Pop_yearly_lookup!$A:$A, 0)))</f>
        <v>0.9947097054479388</v>
      </c>
      <c r="G16" s="66">
        <f>'BCDTRtSY-frgt-US'!G5*(INDEX(Pop_yearly_lookup!G:G, MATCH(About!$B$1, Pop_yearly_lookup!$A:$A, 0))/INDEX(Pop_yearly_lookup!$C:$C, MATCH(About!$B$1, Pop_yearly_lookup!$A:$A, 0)))/(INDEX(Pop_yearly_lookup!G:G, MATCH("United States", Pop_yearly_lookup!$A:$A, 0))/INDEX(Pop_yearly_lookup!$C:$C, MATCH("United States", Pop_yearly_lookup!$A:$A, 0)))</f>
        <v>0.98901189306919102</v>
      </c>
      <c r="H16" s="66">
        <f>'BCDTRtSY-frgt-US'!H5*(INDEX(Pop_yearly_lookup!H:H, MATCH(About!$B$1, Pop_yearly_lookup!$A:$A, 0))/INDEX(Pop_yearly_lookup!$C:$C, MATCH(About!$B$1, Pop_yearly_lookup!$A:$A, 0)))/(INDEX(Pop_yearly_lookup!H:H, MATCH("United States", Pop_yearly_lookup!$A:$A, 0))/INDEX(Pop_yearly_lookup!$C:$C, MATCH("United States", Pop_yearly_lookup!$A:$A, 0)))</f>
        <v>0.99775122344550482</v>
      </c>
      <c r="I16" s="66">
        <f>'BCDTRtSY-frgt-US'!I5*(INDEX(Pop_yearly_lookup!I:I, MATCH(About!$B$1, Pop_yearly_lookup!$A:$A, 0))/INDEX(Pop_yearly_lookup!$C:$C, MATCH(About!$B$1, Pop_yearly_lookup!$A:$A, 0)))/(INDEX(Pop_yearly_lookup!I:I, MATCH("United States", Pop_yearly_lookup!$A:$A, 0))/INDEX(Pop_yearly_lookup!$C:$C, MATCH("United States", Pop_yearly_lookup!$A:$A, 0)))</f>
        <v>0.96852984406545306</v>
      </c>
      <c r="J16" s="66">
        <f>'BCDTRtSY-frgt-US'!J5*(INDEX(Pop_yearly_lookup!J:J, MATCH(About!$B$1, Pop_yearly_lookup!$A:$A, 0))/INDEX(Pop_yearly_lookup!$C:$C, MATCH(About!$B$1, Pop_yearly_lookup!$A:$A, 0)))/(INDEX(Pop_yearly_lookup!J:J, MATCH("United States", Pop_yearly_lookup!$A:$A, 0))/INDEX(Pop_yearly_lookup!$C:$C, MATCH("United States", Pop_yearly_lookup!$A:$A, 0)))</f>
        <v>0.9689678229420573</v>
      </c>
      <c r="K16" s="66">
        <f>'BCDTRtSY-frgt-US'!K5*(INDEX(Pop_yearly_lookup!K:K, MATCH(About!$B$1, Pop_yearly_lookup!$A:$A, 0))/INDEX(Pop_yearly_lookup!$C:$C, MATCH(About!$B$1, Pop_yearly_lookup!$A:$A, 0)))/(INDEX(Pop_yearly_lookup!K:K, MATCH("United States", Pop_yearly_lookup!$A:$A, 0))/INDEX(Pop_yearly_lookup!$C:$C, MATCH("United States", Pop_yearly_lookup!$A:$A, 0)))</f>
        <v>0.96954700969630281</v>
      </c>
      <c r="L16" s="66">
        <f>'BCDTRtSY-frgt-US'!L5*(INDEX(Pop_yearly_lookup!L:L, MATCH(About!$B$1, Pop_yearly_lookup!$A:$A, 0))/INDEX(Pop_yearly_lookup!$C:$C, MATCH(About!$B$1, Pop_yearly_lookup!$A:$A, 0)))/(INDEX(Pop_yearly_lookup!L:L, MATCH("United States", Pop_yearly_lookup!$A:$A, 0))/INDEX(Pop_yearly_lookup!$C:$C, MATCH("United States", Pop_yearly_lookup!$A:$A, 0)))</f>
        <v>0.9632062512883216</v>
      </c>
      <c r="M16" s="66">
        <f>'BCDTRtSY-frgt-US'!M5*(INDEX(Pop_yearly_lookup!M:M, MATCH(About!$B$1, Pop_yearly_lookup!$A:$A, 0))/INDEX(Pop_yearly_lookup!$C:$C, MATCH(About!$B$1, Pop_yearly_lookup!$A:$A, 0)))/(INDEX(Pop_yearly_lookup!M:M, MATCH("United States", Pop_yearly_lookup!$A:$A, 0))/INDEX(Pop_yearly_lookup!$C:$C, MATCH("United States", Pop_yearly_lookup!$A:$A, 0)))</f>
        <v>0.96277235027744967</v>
      </c>
      <c r="N16" s="66">
        <f>'BCDTRtSY-frgt-US'!N5*(INDEX(Pop_yearly_lookup!N:N, MATCH(About!$B$1, Pop_yearly_lookup!$A:$A, 0))/INDEX(Pop_yearly_lookup!$C:$C, MATCH(About!$B$1, Pop_yearly_lookup!$A:$A, 0)))/(INDEX(Pop_yearly_lookup!N:N, MATCH("United States", Pop_yearly_lookup!$A:$A, 0))/INDEX(Pop_yearly_lookup!$C:$C, MATCH("United States", Pop_yearly_lookup!$A:$A, 0)))</f>
        <v>0.961485516110405</v>
      </c>
      <c r="O16" s="66">
        <f>'BCDTRtSY-frgt-US'!O5*(INDEX(Pop_yearly_lookup!O:O, MATCH(About!$B$1, Pop_yearly_lookup!$A:$A, 0))/INDEX(Pop_yearly_lookup!$C:$C, MATCH(About!$B$1, Pop_yearly_lookup!$A:$A, 0)))/(INDEX(Pop_yearly_lookup!O:O, MATCH("United States", Pop_yearly_lookup!$A:$A, 0))/INDEX(Pop_yearly_lookup!$C:$C, MATCH("United States", Pop_yearly_lookup!$A:$A, 0)))</f>
        <v>0.96156414038474847</v>
      </c>
      <c r="P16" s="66">
        <f>'BCDTRtSY-frgt-US'!P5*(INDEX(Pop_yearly_lookup!P:P, MATCH(About!$B$1, Pop_yearly_lookup!$A:$A, 0))/INDEX(Pop_yearly_lookup!$C:$C, MATCH(About!$B$1, Pop_yearly_lookup!$A:$A, 0)))/(INDEX(Pop_yearly_lookup!P:P, MATCH("United States", Pop_yearly_lookup!$A:$A, 0))/INDEX(Pop_yearly_lookup!$C:$C, MATCH("United States", Pop_yearly_lookup!$A:$A, 0)))</f>
        <v>0.95841225936354124</v>
      </c>
      <c r="Q16" s="66">
        <f>'BCDTRtSY-frgt-US'!Q5*(INDEX(Pop_yearly_lookup!Q:Q, MATCH(About!$B$1, Pop_yearly_lookup!$A:$A, 0))/INDEX(Pop_yearly_lookup!$C:$C, MATCH(About!$B$1, Pop_yearly_lookup!$A:$A, 0)))/(INDEX(Pop_yearly_lookup!Q:Q, MATCH("United States", Pop_yearly_lookup!$A:$A, 0))/INDEX(Pop_yearly_lookup!$C:$C, MATCH("United States", Pop_yearly_lookup!$A:$A, 0)))</f>
        <v>0.95681513892260961</v>
      </c>
      <c r="R16" s="66">
        <f>'BCDTRtSY-frgt-US'!R5*(INDEX(Pop_yearly_lookup!R:R, MATCH(About!$B$1, Pop_yearly_lookup!$A:$A, 0))/INDEX(Pop_yearly_lookup!$C:$C, MATCH(About!$B$1, Pop_yearly_lookup!$A:$A, 0)))/(INDEX(Pop_yearly_lookup!R:R, MATCH("United States", Pop_yearly_lookup!$A:$A, 0))/INDEX(Pop_yearly_lookup!$C:$C, MATCH("United States", Pop_yearly_lookup!$A:$A, 0)))</f>
        <v>0.95425295989689696</v>
      </c>
      <c r="S16" s="66">
        <f>'BCDTRtSY-frgt-US'!S5*(INDEX(Pop_yearly_lookup!S:S, MATCH(About!$B$1, Pop_yearly_lookup!$A:$A, 0))/INDEX(Pop_yearly_lookup!$C:$C, MATCH(About!$B$1, Pop_yearly_lookup!$A:$A, 0)))/(INDEX(Pop_yearly_lookup!S:S, MATCH("United States", Pop_yearly_lookup!$A:$A, 0))/INDEX(Pop_yearly_lookup!$C:$C, MATCH("United States", Pop_yearly_lookup!$A:$A, 0)))</f>
        <v>0.94963849257313826</v>
      </c>
      <c r="T16" s="66">
        <f>'BCDTRtSY-frgt-US'!T5*(INDEX(Pop_yearly_lookup!T:T, MATCH(About!$B$1, Pop_yearly_lookup!$A:$A, 0))/INDEX(Pop_yearly_lookup!$C:$C, MATCH(About!$B$1, Pop_yearly_lookup!$A:$A, 0)))/(INDEX(Pop_yearly_lookup!T:T, MATCH("United States", Pop_yearly_lookup!$A:$A, 0))/INDEX(Pop_yearly_lookup!$C:$C, MATCH("United States", Pop_yearly_lookup!$A:$A, 0)))</f>
        <v>0.94298157914888614</v>
      </c>
      <c r="U16" s="66">
        <f>'BCDTRtSY-frgt-US'!U5*(INDEX(Pop_yearly_lookup!U:U, MATCH(About!$B$1, Pop_yearly_lookup!$A:$A, 0))/INDEX(Pop_yearly_lookup!$C:$C, MATCH(About!$B$1, Pop_yearly_lookup!$A:$A, 0)))/(INDEX(Pop_yearly_lookup!U:U, MATCH("United States", Pop_yearly_lookup!$A:$A, 0))/INDEX(Pop_yearly_lookup!$C:$C, MATCH("United States", Pop_yearly_lookup!$A:$A, 0)))</f>
        <v>0.93697640661114079</v>
      </c>
      <c r="V16" s="66">
        <f>'BCDTRtSY-frgt-US'!V5*(INDEX(Pop_yearly_lookup!V:V, MATCH(About!$B$1, Pop_yearly_lookup!$A:$A, 0))/INDEX(Pop_yearly_lookup!$C:$C, MATCH(About!$B$1, Pop_yearly_lookup!$A:$A, 0)))/(INDEX(Pop_yearly_lookup!V:V, MATCH("United States", Pop_yearly_lookup!$A:$A, 0))/INDEX(Pop_yearly_lookup!$C:$C, MATCH("United States", Pop_yearly_lookup!$A:$A, 0)))</f>
        <v>0.93338726308946907</v>
      </c>
      <c r="W16" s="66">
        <f>'BCDTRtSY-frgt-US'!W5*(INDEX(Pop_yearly_lookup!W:W, MATCH(About!$B$1, Pop_yearly_lookup!$A:$A, 0))/INDEX(Pop_yearly_lookup!$C:$C, MATCH(About!$B$1, Pop_yearly_lookup!$A:$A, 0)))/(INDEX(Pop_yearly_lookup!W:W, MATCH("United States", Pop_yearly_lookup!$A:$A, 0))/INDEX(Pop_yearly_lookup!$C:$C, MATCH("United States", Pop_yearly_lookup!$A:$A, 0)))</f>
        <v>0.92923724688961118</v>
      </c>
      <c r="X16" s="66">
        <f>'BCDTRtSY-frgt-US'!X5*(INDEX(Pop_yearly_lookup!X:X, MATCH(About!$B$1, Pop_yearly_lookup!$A:$A, 0))/INDEX(Pop_yearly_lookup!$C:$C, MATCH(About!$B$1, Pop_yearly_lookup!$A:$A, 0)))/(INDEX(Pop_yearly_lookup!X:X, MATCH("United States", Pop_yearly_lookup!$A:$A, 0))/INDEX(Pop_yearly_lookup!$C:$C, MATCH("United States", Pop_yearly_lookup!$A:$A, 0)))</f>
        <v>0.92751671892605481</v>
      </c>
      <c r="Y16" s="66">
        <f>'BCDTRtSY-frgt-US'!Y5*(INDEX(Pop_yearly_lookup!Y:Y, MATCH(About!$B$1, Pop_yearly_lookup!$A:$A, 0))/INDEX(Pop_yearly_lookup!$C:$C, MATCH(About!$B$1, Pop_yearly_lookup!$A:$A, 0)))/(INDEX(Pop_yearly_lookup!Y:Y, MATCH("United States", Pop_yearly_lookup!$A:$A, 0))/INDEX(Pop_yearly_lookup!$C:$C, MATCH("United States", Pop_yearly_lookup!$A:$A, 0)))</f>
        <v>0.92930797998841363</v>
      </c>
      <c r="Z16" s="66">
        <f>'BCDTRtSY-frgt-US'!Z5*(INDEX(Pop_yearly_lookup!Z:Z, MATCH(About!$B$1, Pop_yearly_lookup!$A:$A, 0))/INDEX(Pop_yearly_lookup!$C:$C, MATCH(About!$B$1, Pop_yearly_lookup!$A:$A, 0)))/(INDEX(Pop_yearly_lookup!Z:Z, MATCH("United States", Pop_yearly_lookup!$A:$A, 0))/INDEX(Pop_yearly_lookup!$C:$C, MATCH("United States", Pop_yearly_lookup!$A:$A, 0)))</f>
        <v>0.92858151066229611</v>
      </c>
      <c r="AA16" s="66">
        <f>'BCDTRtSY-frgt-US'!AA5*(INDEX(Pop_yearly_lookup!AA:AA, MATCH(About!$B$1, Pop_yearly_lookup!$A:$A, 0))/INDEX(Pop_yearly_lookup!$C:$C, MATCH(About!$B$1, Pop_yearly_lookup!$A:$A, 0)))/(INDEX(Pop_yearly_lookup!AA:AA, MATCH("United States", Pop_yearly_lookup!$A:$A, 0))/INDEX(Pop_yearly_lookup!$C:$C, MATCH("United States", Pop_yearly_lookup!$A:$A, 0)))</f>
        <v>0.92228951278355109</v>
      </c>
      <c r="AB16" s="66">
        <f>'BCDTRtSY-frgt-US'!AB5*(INDEX(Pop_yearly_lookup!AB:AB, MATCH(About!$B$1, Pop_yearly_lookup!$A:$A, 0))/INDEX(Pop_yearly_lookup!$C:$C, MATCH(About!$B$1, Pop_yearly_lookup!$A:$A, 0)))/(INDEX(Pop_yearly_lookup!AB:AB, MATCH("United States", Pop_yearly_lookup!$A:$A, 0))/INDEX(Pop_yearly_lookup!$C:$C, MATCH("United States", Pop_yearly_lookup!$A:$A, 0)))</f>
        <v>0.91665932633869662</v>
      </c>
    </row>
    <row r="17" spans="1:28">
      <c r="A17" t="s">
        <v>122</v>
      </c>
      <c r="B17" s="66">
        <f>'BCDTRtSY-frgt-US'!B6</f>
        <v>1</v>
      </c>
      <c r="C17" s="66">
        <f>'BCDTRtSY-frgt-US'!C6*(INDEX(Pop_yearly_lookup!C:C, MATCH(About!$B$1, Pop_yearly_lookup!$A:$A, 0))/INDEX(Pop_yearly_lookup!$C:$C, MATCH(About!$B$1, Pop_yearly_lookup!$A:$A, 0)))/(INDEX(Pop_yearly_lookup!C:C, MATCH("United States", Pop_yearly_lookup!$A:$A, 0))/INDEX(Pop_yearly_lookup!$C:$C, MATCH("United States", Pop_yearly_lookup!$A:$A, 0)))</f>
        <v>1</v>
      </c>
      <c r="D17" s="66">
        <f>'BCDTRtSY-frgt-US'!D6*(INDEX(Pop_yearly_lookup!D:D, MATCH(About!$B$1, Pop_yearly_lookup!$A:$A, 0))/INDEX(Pop_yearly_lookup!$C:$C, MATCH(About!$B$1, Pop_yearly_lookup!$A:$A, 0)))/(INDEX(Pop_yearly_lookup!D:D, MATCH("United States", Pop_yearly_lookup!$A:$A, 0))/INDEX(Pop_yearly_lookup!$C:$C, MATCH("United States", Pop_yearly_lookup!$A:$A, 0)))</f>
        <v>0.9943815983229578</v>
      </c>
      <c r="E17" s="66">
        <f>'BCDTRtSY-frgt-US'!E6*(INDEX(Pop_yearly_lookup!E:E, MATCH(About!$B$1, Pop_yearly_lookup!$A:$A, 0))/INDEX(Pop_yearly_lookup!$C:$C, MATCH(About!$B$1, Pop_yearly_lookup!$A:$A, 0)))/(INDEX(Pop_yearly_lookup!E:E, MATCH("United States", Pop_yearly_lookup!$A:$A, 0))/INDEX(Pop_yearly_lookup!$C:$C, MATCH("United States", Pop_yearly_lookup!$A:$A, 0)))</f>
        <v>1.0158323492021499</v>
      </c>
      <c r="F17" s="66">
        <f>'BCDTRtSY-frgt-US'!F6*(INDEX(Pop_yearly_lookup!F:F, MATCH(About!$B$1, Pop_yearly_lookup!$A:$A, 0))/INDEX(Pop_yearly_lookup!$C:$C, MATCH(About!$B$1, Pop_yearly_lookup!$A:$A, 0)))/(INDEX(Pop_yearly_lookup!F:F, MATCH("United States", Pop_yearly_lookup!$A:$A, 0))/INDEX(Pop_yearly_lookup!$C:$C, MATCH("United States", Pop_yearly_lookup!$A:$A, 0)))</f>
        <v>1.0393913095301628</v>
      </c>
      <c r="G17" s="66">
        <f>'BCDTRtSY-frgt-US'!G6*(INDEX(Pop_yearly_lookup!G:G, MATCH(About!$B$1, Pop_yearly_lookup!$A:$A, 0))/INDEX(Pop_yearly_lookup!$C:$C, MATCH(About!$B$1, Pop_yearly_lookup!$A:$A, 0)))/(INDEX(Pop_yearly_lookup!G:G, MATCH("United States", Pop_yearly_lookup!$A:$A, 0))/INDEX(Pop_yearly_lookup!$C:$C, MATCH("United States", Pop_yearly_lookup!$A:$A, 0)))</f>
        <v>1.0596297055276775</v>
      </c>
      <c r="H17" s="66">
        <f>'BCDTRtSY-frgt-US'!H6*(INDEX(Pop_yearly_lookup!H:H, MATCH(About!$B$1, Pop_yearly_lookup!$A:$A, 0))/INDEX(Pop_yearly_lookup!$C:$C, MATCH(About!$B$1, Pop_yearly_lookup!$A:$A, 0)))/(INDEX(Pop_yearly_lookup!H:H, MATCH("United States", Pop_yearly_lookup!$A:$A, 0))/INDEX(Pop_yearly_lookup!$C:$C, MATCH("United States", Pop_yearly_lookup!$A:$A, 0)))</f>
        <v>1.0808648715884823</v>
      </c>
      <c r="I17" s="66">
        <f>'BCDTRtSY-frgt-US'!I6*(INDEX(Pop_yearly_lookup!I:I, MATCH(About!$B$1, Pop_yearly_lookup!$A:$A, 0))/INDEX(Pop_yearly_lookup!$C:$C, MATCH(About!$B$1, Pop_yearly_lookup!$A:$A, 0)))/(INDEX(Pop_yearly_lookup!I:I, MATCH("United States", Pop_yearly_lookup!$A:$A, 0))/INDEX(Pop_yearly_lookup!$C:$C, MATCH("United States", Pop_yearly_lookup!$A:$A, 0)))</f>
        <v>1.0942309600409619</v>
      </c>
      <c r="J17" s="66">
        <f>'BCDTRtSY-frgt-US'!J6*(INDEX(Pop_yearly_lookup!J:J, MATCH(About!$B$1, Pop_yearly_lookup!$A:$A, 0))/INDEX(Pop_yearly_lookup!$C:$C, MATCH(About!$B$1, Pop_yearly_lookup!$A:$A, 0)))/(INDEX(Pop_yearly_lookup!J:J, MATCH("United States", Pop_yearly_lookup!$A:$A, 0))/INDEX(Pop_yearly_lookup!$C:$C, MATCH("United States", Pop_yearly_lookup!$A:$A, 0)))</f>
        <v>1.1095572253571597</v>
      </c>
      <c r="K17" s="66">
        <f>'BCDTRtSY-frgt-US'!K6*(INDEX(Pop_yearly_lookup!K:K, MATCH(About!$B$1, Pop_yearly_lookup!$A:$A, 0))/INDEX(Pop_yearly_lookup!$C:$C, MATCH(About!$B$1, Pop_yearly_lookup!$A:$A, 0)))/(INDEX(Pop_yearly_lookup!K:K, MATCH("United States", Pop_yearly_lookup!$A:$A, 0))/INDEX(Pop_yearly_lookup!$C:$C, MATCH("United States", Pop_yearly_lookup!$A:$A, 0)))</f>
        <v>1.1250637598194038</v>
      </c>
      <c r="L17" s="66">
        <f>'BCDTRtSY-frgt-US'!L6*(INDEX(Pop_yearly_lookup!L:L, MATCH(About!$B$1, Pop_yearly_lookup!$A:$A, 0))/INDEX(Pop_yearly_lookup!$C:$C, MATCH(About!$B$1, Pop_yearly_lookup!$A:$A, 0)))/(INDEX(Pop_yearly_lookup!L:L, MATCH("United States", Pop_yearly_lookup!$A:$A, 0))/INDEX(Pop_yearly_lookup!$C:$C, MATCH("United States", Pop_yearly_lookup!$A:$A, 0)))</f>
        <v>1.1411744517168079</v>
      </c>
      <c r="M17" s="66">
        <f>'BCDTRtSY-frgt-US'!M6*(INDEX(Pop_yearly_lookup!M:M, MATCH(About!$B$1, Pop_yearly_lookup!$A:$A, 0))/INDEX(Pop_yearly_lookup!$C:$C, MATCH(About!$B$1, Pop_yearly_lookup!$A:$A, 0)))/(INDEX(Pop_yearly_lookup!M:M, MATCH("United States", Pop_yearly_lookup!$A:$A, 0))/INDEX(Pop_yearly_lookup!$C:$C, MATCH("United States", Pop_yearly_lookup!$A:$A, 0)))</f>
        <v>1.1581711428564825</v>
      </c>
      <c r="N17" s="66">
        <f>'BCDTRtSY-frgt-US'!N6*(INDEX(Pop_yearly_lookup!N:N, MATCH(About!$B$1, Pop_yearly_lookup!$A:$A, 0))/INDEX(Pop_yearly_lookup!$C:$C, MATCH(About!$B$1, Pop_yearly_lookup!$A:$A, 0)))/(INDEX(Pop_yearly_lookup!N:N, MATCH("United States", Pop_yearly_lookup!$A:$A, 0))/INDEX(Pop_yearly_lookup!$C:$C, MATCH("United States", Pop_yearly_lookup!$A:$A, 0)))</f>
        <v>1.1710533417904267</v>
      </c>
      <c r="O17" s="66">
        <f>'BCDTRtSY-frgt-US'!O6*(INDEX(Pop_yearly_lookup!O:O, MATCH(About!$B$1, Pop_yearly_lookup!$A:$A, 0))/INDEX(Pop_yearly_lookup!$C:$C, MATCH(About!$B$1, Pop_yearly_lookup!$A:$A, 0)))/(INDEX(Pop_yearly_lookup!O:O, MATCH("United States", Pop_yearly_lookup!$A:$A, 0))/INDEX(Pop_yearly_lookup!$C:$C, MATCH("United States", Pop_yearly_lookup!$A:$A, 0)))</f>
        <v>1.1805223686125168</v>
      </c>
      <c r="P17" s="66">
        <f>'BCDTRtSY-frgt-US'!P6*(INDEX(Pop_yearly_lookup!P:P, MATCH(About!$B$1, Pop_yearly_lookup!$A:$A, 0))/INDEX(Pop_yearly_lookup!$C:$C, MATCH(About!$B$1, Pop_yearly_lookup!$A:$A, 0)))/(INDEX(Pop_yearly_lookup!P:P, MATCH("United States", Pop_yearly_lookup!$A:$A, 0))/INDEX(Pop_yearly_lookup!$C:$C, MATCH("United States", Pop_yearly_lookup!$A:$A, 0)))</f>
        <v>1.1899069792966244</v>
      </c>
      <c r="Q17" s="66">
        <f>'BCDTRtSY-frgt-US'!Q6*(INDEX(Pop_yearly_lookup!Q:Q, MATCH(About!$B$1, Pop_yearly_lookup!$A:$A, 0))/INDEX(Pop_yearly_lookup!$C:$C, MATCH(About!$B$1, Pop_yearly_lookup!$A:$A, 0)))/(INDEX(Pop_yearly_lookup!Q:Q, MATCH("United States", Pop_yearly_lookup!$A:$A, 0))/INDEX(Pop_yearly_lookup!$C:$C, MATCH("United States", Pop_yearly_lookup!$A:$A, 0)))</f>
        <v>1.1980519002605619</v>
      </c>
      <c r="R17" s="66">
        <f>'BCDTRtSY-frgt-US'!R6*(INDEX(Pop_yearly_lookup!R:R, MATCH(About!$B$1, Pop_yearly_lookup!$A:$A, 0))/INDEX(Pop_yearly_lookup!$C:$C, MATCH(About!$B$1, Pop_yearly_lookup!$A:$A, 0)))/(INDEX(Pop_yearly_lookup!R:R, MATCH("United States", Pop_yearly_lookup!$A:$A, 0))/INDEX(Pop_yearly_lookup!$C:$C, MATCH("United States", Pop_yearly_lookup!$A:$A, 0)))</f>
        <v>1.2062104913600631</v>
      </c>
      <c r="S17" s="66">
        <f>'BCDTRtSY-frgt-US'!S6*(INDEX(Pop_yearly_lookup!S:S, MATCH(About!$B$1, Pop_yearly_lookup!$A:$A, 0))/INDEX(Pop_yearly_lookup!$C:$C, MATCH(About!$B$1, Pop_yearly_lookup!$A:$A, 0)))/(INDEX(Pop_yearly_lookup!S:S, MATCH("United States", Pop_yearly_lookup!$A:$A, 0))/INDEX(Pop_yearly_lookup!$C:$C, MATCH("United States", Pop_yearly_lookup!$A:$A, 0)))</f>
        <v>1.213587604336438</v>
      </c>
      <c r="T17" s="66">
        <f>'BCDTRtSY-frgt-US'!T6*(INDEX(Pop_yearly_lookup!T:T, MATCH(About!$B$1, Pop_yearly_lookup!$A:$A, 0))/INDEX(Pop_yearly_lookup!$C:$C, MATCH(About!$B$1, Pop_yearly_lookup!$A:$A, 0)))/(INDEX(Pop_yearly_lookup!T:T, MATCH("United States", Pop_yearly_lookup!$A:$A, 0))/INDEX(Pop_yearly_lookup!$C:$C, MATCH("United States", Pop_yearly_lookup!$A:$A, 0)))</f>
        <v>1.2219300315478276</v>
      </c>
      <c r="U17" s="66">
        <f>'BCDTRtSY-frgt-US'!U6*(INDEX(Pop_yearly_lookup!U:U, MATCH(About!$B$1, Pop_yearly_lookup!$A:$A, 0))/INDEX(Pop_yearly_lookup!$C:$C, MATCH(About!$B$1, Pop_yearly_lookup!$A:$A, 0)))/(INDEX(Pop_yearly_lookup!U:U, MATCH("United States", Pop_yearly_lookup!$A:$A, 0))/INDEX(Pop_yearly_lookup!$C:$C, MATCH("United States", Pop_yearly_lookup!$A:$A, 0)))</f>
        <v>1.2297812830213952</v>
      </c>
      <c r="V17" s="66">
        <f>'BCDTRtSY-frgt-US'!V6*(INDEX(Pop_yearly_lookup!V:V, MATCH(About!$B$1, Pop_yearly_lookup!$A:$A, 0))/INDEX(Pop_yearly_lookup!$C:$C, MATCH(About!$B$1, Pop_yearly_lookup!$A:$A, 0)))/(INDEX(Pop_yearly_lookup!V:V, MATCH("United States", Pop_yearly_lookup!$A:$A, 0))/INDEX(Pop_yearly_lookup!$C:$C, MATCH("United States", Pop_yearly_lookup!$A:$A, 0)))</f>
        <v>1.2374098507376257</v>
      </c>
      <c r="W17" s="66">
        <f>'BCDTRtSY-frgt-US'!W6*(INDEX(Pop_yearly_lookup!W:W, MATCH(About!$B$1, Pop_yearly_lookup!$A:$A, 0))/INDEX(Pop_yearly_lookup!$C:$C, MATCH(About!$B$1, Pop_yearly_lookup!$A:$A, 0)))/(INDEX(Pop_yearly_lookup!W:W, MATCH("United States", Pop_yearly_lookup!$A:$A, 0))/INDEX(Pop_yearly_lookup!$C:$C, MATCH("United States", Pop_yearly_lookup!$A:$A, 0)))</f>
        <v>1.2462689981497437</v>
      </c>
      <c r="X17" s="66">
        <f>'BCDTRtSY-frgt-US'!X6*(INDEX(Pop_yearly_lookup!X:X, MATCH(About!$B$1, Pop_yearly_lookup!$A:$A, 0))/INDEX(Pop_yearly_lookup!$C:$C, MATCH(About!$B$1, Pop_yearly_lookup!$A:$A, 0)))/(INDEX(Pop_yearly_lookup!X:X, MATCH("United States", Pop_yearly_lookup!$A:$A, 0))/INDEX(Pop_yearly_lookup!$C:$C, MATCH("United States", Pop_yearly_lookup!$A:$A, 0)))</f>
        <v>1.2551929721343684</v>
      </c>
      <c r="Y17" s="66">
        <f>'BCDTRtSY-frgt-US'!Y6*(INDEX(Pop_yearly_lookup!Y:Y, MATCH(About!$B$1, Pop_yearly_lookup!$A:$A, 0))/INDEX(Pop_yearly_lookup!$C:$C, MATCH(About!$B$1, Pop_yearly_lookup!$A:$A, 0)))/(INDEX(Pop_yearly_lookup!Y:Y, MATCH("United States", Pop_yearly_lookup!$A:$A, 0))/INDEX(Pop_yearly_lookup!$C:$C, MATCH("United States", Pop_yearly_lookup!$A:$A, 0)))</f>
        <v>1.2642143196201954</v>
      </c>
      <c r="Z17" s="66">
        <f>'BCDTRtSY-frgt-US'!Z6*(INDEX(Pop_yearly_lookup!Z:Z, MATCH(About!$B$1, Pop_yearly_lookup!$A:$A, 0))/INDEX(Pop_yearly_lookup!$C:$C, MATCH(About!$B$1, Pop_yearly_lookup!$A:$A, 0)))/(INDEX(Pop_yearly_lookup!Z:Z, MATCH("United States", Pop_yearly_lookup!$A:$A, 0))/INDEX(Pop_yearly_lookup!$C:$C, MATCH("United States", Pop_yearly_lookup!$A:$A, 0)))</f>
        <v>1.2724115849463504</v>
      </c>
      <c r="AA17" s="66">
        <f>'BCDTRtSY-frgt-US'!AA6*(INDEX(Pop_yearly_lookup!AA:AA, MATCH(About!$B$1, Pop_yearly_lookup!$A:$A, 0))/INDEX(Pop_yearly_lookup!$C:$C, MATCH(About!$B$1, Pop_yearly_lookup!$A:$A, 0)))/(INDEX(Pop_yearly_lookup!AA:AA, MATCH("United States", Pop_yearly_lookup!$A:$A, 0))/INDEX(Pop_yearly_lookup!$C:$C, MATCH("United States", Pop_yearly_lookup!$A:$A, 0)))</f>
        <v>1.2802332620321859</v>
      </c>
      <c r="AB17" s="66">
        <f>'BCDTRtSY-frgt-US'!AB6*(INDEX(Pop_yearly_lookup!AB:AB, MATCH(About!$B$1, Pop_yearly_lookup!$A:$A, 0))/INDEX(Pop_yearly_lookup!$C:$C, MATCH(About!$B$1, Pop_yearly_lookup!$A:$A, 0)))/(INDEX(Pop_yearly_lookup!AB:AB, MATCH("United States", Pop_yearly_lookup!$A:$A, 0))/INDEX(Pop_yearly_lookup!$C:$C, MATCH("United States", Pop_yearly_lookup!$A:$A, 0)))</f>
        <v>1.2893431895163843</v>
      </c>
    </row>
    <row r="18" spans="1:28">
      <c r="A18" t="s">
        <v>123</v>
      </c>
      <c r="B18" s="66">
        <f>'BCDTRtSY-frgt-US'!B7</f>
        <v>0</v>
      </c>
      <c r="C18" s="66">
        <f>'BCDTRtSY-frgt-US'!C7*(INDEX(Pop_yearly_lookup!C:C, MATCH(About!$B$1, Pop_yearly_lookup!$A:$A, 0))/INDEX(Pop_yearly_lookup!$C:$C, MATCH(About!$B$1, Pop_yearly_lookup!$A:$A, 0)))/(INDEX(Pop_yearly_lookup!C:C, MATCH("United States", Pop_yearly_lookup!$A:$A, 0))/INDEX(Pop_yearly_lookup!$C:$C, MATCH("United States", Pop_yearly_lookup!$A:$A, 0)))</f>
        <v>0</v>
      </c>
      <c r="D18" s="66">
        <f>'BCDTRtSY-frgt-US'!D7*(INDEX(Pop_yearly_lookup!D:D, MATCH(About!$B$1, Pop_yearly_lookup!$A:$A, 0))/INDEX(Pop_yearly_lookup!$C:$C, MATCH(About!$B$1, Pop_yearly_lookup!$A:$A, 0)))/(INDEX(Pop_yearly_lookup!D:D, MATCH("United States", Pop_yearly_lookup!$A:$A, 0))/INDEX(Pop_yearly_lookup!$C:$C, MATCH("United States", Pop_yearly_lookup!$A:$A, 0)))</f>
        <v>0</v>
      </c>
      <c r="E18" s="66">
        <f>'BCDTRtSY-frgt-US'!E7*(INDEX(Pop_yearly_lookup!E:E, MATCH(About!$B$1, Pop_yearly_lookup!$A:$A, 0))/INDEX(Pop_yearly_lookup!$C:$C, MATCH(About!$B$1, Pop_yearly_lookup!$A:$A, 0)))/(INDEX(Pop_yearly_lookup!E:E, MATCH("United States", Pop_yearly_lookup!$A:$A, 0))/INDEX(Pop_yearly_lookup!$C:$C, MATCH("United States", Pop_yearly_lookup!$A:$A, 0)))</f>
        <v>0</v>
      </c>
      <c r="F18" s="66">
        <f>'BCDTRtSY-frgt-US'!F7*(INDEX(Pop_yearly_lookup!F:F, MATCH(About!$B$1, Pop_yearly_lookup!$A:$A, 0))/INDEX(Pop_yearly_lookup!$C:$C, MATCH(About!$B$1, Pop_yearly_lookup!$A:$A, 0)))/(INDEX(Pop_yearly_lookup!F:F, MATCH("United States", Pop_yearly_lookup!$A:$A, 0))/INDEX(Pop_yearly_lookup!$C:$C, MATCH("United States", Pop_yearly_lookup!$A:$A, 0)))</f>
        <v>0</v>
      </c>
      <c r="G18" s="66">
        <f>'BCDTRtSY-frgt-US'!G7*(INDEX(Pop_yearly_lookup!G:G, MATCH(About!$B$1, Pop_yearly_lookup!$A:$A, 0))/INDEX(Pop_yearly_lookup!$C:$C, MATCH(About!$B$1, Pop_yearly_lookup!$A:$A, 0)))/(INDEX(Pop_yearly_lookup!G:G, MATCH("United States", Pop_yearly_lookup!$A:$A, 0))/INDEX(Pop_yearly_lookup!$C:$C, MATCH("United States", Pop_yearly_lookup!$A:$A, 0)))</f>
        <v>0</v>
      </c>
      <c r="H18" s="66">
        <f>'BCDTRtSY-frgt-US'!H7*(INDEX(Pop_yearly_lookup!H:H, MATCH(About!$B$1, Pop_yearly_lookup!$A:$A, 0))/INDEX(Pop_yearly_lookup!$C:$C, MATCH(About!$B$1, Pop_yearly_lookup!$A:$A, 0)))/(INDEX(Pop_yearly_lookup!H:H, MATCH("United States", Pop_yearly_lookup!$A:$A, 0))/INDEX(Pop_yearly_lookup!$C:$C, MATCH("United States", Pop_yearly_lookup!$A:$A, 0)))</f>
        <v>0</v>
      </c>
      <c r="I18" s="66">
        <f>'BCDTRtSY-frgt-US'!I7*(INDEX(Pop_yearly_lookup!I:I, MATCH(About!$B$1, Pop_yearly_lookup!$A:$A, 0))/INDEX(Pop_yearly_lookup!$C:$C, MATCH(About!$B$1, Pop_yearly_lookup!$A:$A, 0)))/(INDEX(Pop_yearly_lookup!I:I, MATCH("United States", Pop_yearly_lookup!$A:$A, 0))/INDEX(Pop_yearly_lookup!$C:$C, MATCH("United States", Pop_yearly_lookup!$A:$A, 0)))</f>
        <v>0</v>
      </c>
      <c r="J18" s="66">
        <f>'BCDTRtSY-frgt-US'!J7*(INDEX(Pop_yearly_lookup!J:J, MATCH(About!$B$1, Pop_yearly_lookup!$A:$A, 0))/INDEX(Pop_yearly_lookup!$C:$C, MATCH(About!$B$1, Pop_yearly_lookup!$A:$A, 0)))/(INDEX(Pop_yearly_lookup!J:J, MATCH("United States", Pop_yearly_lookup!$A:$A, 0))/INDEX(Pop_yearly_lookup!$C:$C, MATCH("United States", Pop_yearly_lookup!$A:$A, 0)))</f>
        <v>0</v>
      </c>
      <c r="K18" s="66">
        <f>'BCDTRtSY-frgt-US'!K7*(INDEX(Pop_yearly_lookup!K:K, MATCH(About!$B$1, Pop_yearly_lookup!$A:$A, 0))/INDEX(Pop_yearly_lookup!$C:$C, MATCH(About!$B$1, Pop_yearly_lookup!$A:$A, 0)))/(INDEX(Pop_yearly_lookup!K:K, MATCH("United States", Pop_yearly_lookup!$A:$A, 0))/INDEX(Pop_yearly_lookup!$C:$C, MATCH("United States", Pop_yearly_lookup!$A:$A, 0)))</f>
        <v>0</v>
      </c>
      <c r="L18" s="66">
        <f>'BCDTRtSY-frgt-US'!L7*(INDEX(Pop_yearly_lookup!L:L, MATCH(About!$B$1, Pop_yearly_lookup!$A:$A, 0))/INDEX(Pop_yearly_lookup!$C:$C, MATCH(About!$B$1, Pop_yearly_lookup!$A:$A, 0)))/(INDEX(Pop_yearly_lookup!L:L, MATCH("United States", Pop_yearly_lookup!$A:$A, 0))/INDEX(Pop_yearly_lookup!$C:$C, MATCH("United States", Pop_yearly_lookup!$A:$A, 0)))</f>
        <v>0</v>
      </c>
      <c r="M18" s="66">
        <f>'BCDTRtSY-frgt-US'!M7*(INDEX(Pop_yearly_lookup!M:M, MATCH(About!$B$1, Pop_yearly_lookup!$A:$A, 0))/INDEX(Pop_yearly_lookup!$C:$C, MATCH(About!$B$1, Pop_yearly_lookup!$A:$A, 0)))/(INDEX(Pop_yearly_lookup!M:M, MATCH("United States", Pop_yearly_lookup!$A:$A, 0))/INDEX(Pop_yearly_lookup!$C:$C, MATCH("United States", Pop_yearly_lookup!$A:$A, 0)))</f>
        <v>0</v>
      </c>
      <c r="N18" s="66">
        <f>'BCDTRtSY-frgt-US'!N7*(INDEX(Pop_yearly_lookup!N:N, MATCH(About!$B$1, Pop_yearly_lookup!$A:$A, 0))/INDEX(Pop_yearly_lookup!$C:$C, MATCH(About!$B$1, Pop_yearly_lookup!$A:$A, 0)))/(INDEX(Pop_yearly_lookup!N:N, MATCH("United States", Pop_yearly_lookup!$A:$A, 0))/INDEX(Pop_yearly_lookup!$C:$C, MATCH("United States", Pop_yearly_lookup!$A:$A, 0)))</f>
        <v>0</v>
      </c>
      <c r="O18" s="66">
        <f>'BCDTRtSY-frgt-US'!O7*(INDEX(Pop_yearly_lookup!O:O, MATCH(About!$B$1, Pop_yearly_lookup!$A:$A, 0))/INDEX(Pop_yearly_lookup!$C:$C, MATCH(About!$B$1, Pop_yearly_lookup!$A:$A, 0)))/(INDEX(Pop_yearly_lookup!O:O, MATCH("United States", Pop_yearly_lookup!$A:$A, 0))/INDEX(Pop_yearly_lookup!$C:$C, MATCH("United States", Pop_yearly_lookup!$A:$A, 0)))</f>
        <v>0</v>
      </c>
      <c r="P18" s="66">
        <f>'BCDTRtSY-frgt-US'!P7*(INDEX(Pop_yearly_lookup!P:P, MATCH(About!$B$1, Pop_yearly_lookup!$A:$A, 0))/INDEX(Pop_yearly_lookup!$C:$C, MATCH(About!$B$1, Pop_yearly_lookup!$A:$A, 0)))/(INDEX(Pop_yearly_lookup!P:P, MATCH("United States", Pop_yearly_lookup!$A:$A, 0))/INDEX(Pop_yearly_lookup!$C:$C, MATCH("United States", Pop_yearly_lookup!$A:$A, 0)))</f>
        <v>0</v>
      </c>
      <c r="Q18" s="66">
        <f>'BCDTRtSY-frgt-US'!Q7*(INDEX(Pop_yearly_lookup!Q:Q, MATCH(About!$B$1, Pop_yearly_lookup!$A:$A, 0))/INDEX(Pop_yearly_lookup!$C:$C, MATCH(About!$B$1, Pop_yearly_lookup!$A:$A, 0)))/(INDEX(Pop_yearly_lookup!Q:Q, MATCH("United States", Pop_yearly_lookup!$A:$A, 0))/INDEX(Pop_yearly_lookup!$C:$C, MATCH("United States", Pop_yearly_lookup!$A:$A, 0)))</f>
        <v>0</v>
      </c>
      <c r="R18" s="66">
        <f>'BCDTRtSY-frgt-US'!R7*(INDEX(Pop_yearly_lookup!R:R, MATCH(About!$B$1, Pop_yearly_lookup!$A:$A, 0))/INDEX(Pop_yearly_lookup!$C:$C, MATCH(About!$B$1, Pop_yearly_lookup!$A:$A, 0)))/(INDEX(Pop_yearly_lookup!R:R, MATCH("United States", Pop_yearly_lookup!$A:$A, 0))/INDEX(Pop_yearly_lookup!$C:$C, MATCH("United States", Pop_yearly_lookup!$A:$A, 0)))</f>
        <v>0</v>
      </c>
      <c r="S18" s="66">
        <f>'BCDTRtSY-frgt-US'!S7*(INDEX(Pop_yearly_lookup!S:S, MATCH(About!$B$1, Pop_yearly_lookup!$A:$A, 0))/INDEX(Pop_yearly_lookup!$C:$C, MATCH(About!$B$1, Pop_yearly_lookup!$A:$A, 0)))/(INDEX(Pop_yearly_lookup!S:S, MATCH("United States", Pop_yearly_lookup!$A:$A, 0))/INDEX(Pop_yearly_lookup!$C:$C, MATCH("United States", Pop_yearly_lookup!$A:$A, 0)))</f>
        <v>0</v>
      </c>
      <c r="T18" s="66">
        <f>'BCDTRtSY-frgt-US'!T7*(INDEX(Pop_yearly_lookup!T:T, MATCH(About!$B$1, Pop_yearly_lookup!$A:$A, 0))/INDEX(Pop_yearly_lookup!$C:$C, MATCH(About!$B$1, Pop_yearly_lookup!$A:$A, 0)))/(INDEX(Pop_yearly_lookup!T:T, MATCH("United States", Pop_yearly_lookup!$A:$A, 0))/INDEX(Pop_yearly_lookup!$C:$C, MATCH("United States", Pop_yearly_lookup!$A:$A, 0)))</f>
        <v>0</v>
      </c>
      <c r="U18" s="66">
        <f>'BCDTRtSY-frgt-US'!U7*(INDEX(Pop_yearly_lookup!U:U, MATCH(About!$B$1, Pop_yearly_lookup!$A:$A, 0))/INDEX(Pop_yearly_lookup!$C:$C, MATCH(About!$B$1, Pop_yearly_lookup!$A:$A, 0)))/(INDEX(Pop_yearly_lookup!U:U, MATCH("United States", Pop_yearly_lookup!$A:$A, 0))/INDEX(Pop_yearly_lookup!$C:$C, MATCH("United States", Pop_yearly_lookup!$A:$A, 0)))</f>
        <v>0</v>
      </c>
      <c r="V18" s="66">
        <f>'BCDTRtSY-frgt-US'!V7*(INDEX(Pop_yearly_lookup!V:V, MATCH(About!$B$1, Pop_yearly_lookup!$A:$A, 0))/INDEX(Pop_yearly_lookup!$C:$C, MATCH(About!$B$1, Pop_yearly_lookup!$A:$A, 0)))/(INDEX(Pop_yearly_lookup!V:V, MATCH("United States", Pop_yearly_lookup!$A:$A, 0))/INDEX(Pop_yearly_lookup!$C:$C, MATCH("United States", Pop_yearly_lookup!$A:$A, 0)))</f>
        <v>0</v>
      </c>
      <c r="W18" s="66">
        <f>'BCDTRtSY-frgt-US'!W7*(INDEX(Pop_yearly_lookup!W:W, MATCH(About!$B$1, Pop_yearly_lookup!$A:$A, 0))/INDEX(Pop_yearly_lookup!$C:$C, MATCH(About!$B$1, Pop_yearly_lookup!$A:$A, 0)))/(INDEX(Pop_yearly_lookup!W:W, MATCH("United States", Pop_yearly_lookup!$A:$A, 0))/INDEX(Pop_yearly_lookup!$C:$C, MATCH("United States", Pop_yearly_lookup!$A:$A, 0)))</f>
        <v>0</v>
      </c>
      <c r="X18" s="66">
        <f>'BCDTRtSY-frgt-US'!X7*(INDEX(Pop_yearly_lookup!X:X, MATCH(About!$B$1, Pop_yearly_lookup!$A:$A, 0))/INDEX(Pop_yearly_lookup!$C:$C, MATCH(About!$B$1, Pop_yearly_lookup!$A:$A, 0)))/(INDEX(Pop_yearly_lookup!X:X, MATCH("United States", Pop_yearly_lookup!$A:$A, 0))/INDEX(Pop_yearly_lookup!$C:$C, MATCH("United States", Pop_yearly_lookup!$A:$A, 0)))</f>
        <v>0</v>
      </c>
      <c r="Y18" s="66">
        <f>'BCDTRtSY-frgt-US'!Y7*(INDEX(Pop_yearly_lookup!Y:Y, MATCH(About!$B$1, Pop_yearly_lookup!$A:$A, 0))/INDEX(Pop_yearly_lookup!$C:$C, MATCH(About!$B$1, Pop_yearly_lookup!$A:$A, 0)))/(INDEX(Pop_yearly_lookup!Y:Y, MATCH("United States", Pop_yearly_lookup!$A:$A, 0))/INDEX(Pop_yearly_lookup!$C:$C, MATCH("United States", Pop_yearly_lookup!$A:$A, 0)))</f>
        <v>0</v>
      </c>
      <c r="Z18" s="66">
        <f>'BCDTRtSY-frgt-US'!Z7*(INDEX(Pop_yearly_lookup!Z:Z, MATCH(About!$B$1, Pop_yearly_lookup!$A:$A, 0))/INDEX(Pop_yearly_lookup!$C:$C, MATCH(About!$B$1, Pop_yearly_lookup!$A:$A, 0)))/(INDEX(Pop_yearly_lookup!Z:Z, MATCH("United States", Pop_yearly_lookup!$A:$A, 0))/INDEX(Pop_yearly_lookup!$C:$C, MATCH("United States", Pop_yearly_lookup!$A:$A, 0)))</f>
        <v>0</v>
      </c>
      <c r="AA18" s="66">
        <f>'BCDTRtSY-frgt-US'!AA7*(INDEX(Pop_yearly_lookup!AA:AA, MATCH(About!$B$1, Pop_yearly_lookup!$A:$A, 0))/INDEX(Pop_yearly_lookup!$C:$C, MATCH(About!$B$1, Pop_yearly_lookup!$A:$A, 0)))/(INDEX(Pop_yearly_lookup!AA:AA, MATCH("United States", Pop_yearly_lookup!$A:$A, 0))/INDEX(Pop_yearly_lookup!$C:$C, MATCH("United States", Pop_yearly_lookup!$A:$A, 0)))</f>
        <v>0</v>
      </c>
      <c r="AB18" s="66">
        <f>'BCDTRtSY-frgt-US'!AB7*(INDEX(Pop_yearly_lookup!AB:AB, MATCH(About!$B$1, Pop_yearly_lookup!$A:$A, 0))/INDEX(Pop_yearly_lookup!$C:$C, MATCH(About!$B$1, Pop_yearly_lookup!$A:$A, 0)))/(INDEX(Pop_yearly_lookup!AB:AB, MATCH("United States", Pop_yearly_lookup!$A:$A, 0))/INDEX(Pop_yearly_lookup!$C:$C, MATCH("United States", Pop_yearly_lookup!$A:$A, 0)))</f>
        <v>0</v>
      </c>
    </row>
    <row r="20" spans="1:28">
      <c r="A20" s="15" t="s">
        <v>3035</v>
      </c>
    </row>
    <row r="21" spans="1:28">
      <c r="A21" s="15" t="s">
        <v>2958</v>
      </c>
    </row>
    <row r="22" spans="1:28">
      <c r="A22" t="s">
        <v>3036</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70E1-699A-4BFC-B803-6E6E884832E2}">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'BCDTRtSY-state-adjusted'!B5</f>
        <v>1</v>
      </c>
      <c r="C2">
        <f>'BCDTRtSY-state-adjusted'!C5</f>
        <v>1</v>
      </c>
      <c r="D2">
        <f>'BCDTRtSY-state-adjusted'!D5</f>
        <v>1.0084247110729156</v>
      </c>
      <c r="E2">
        <f>'BCDTRtSY-state-adjusted'!E5</f>
        <v>1.0182988106411848</v>
      </c>
      <c r="F2">
        <f>'BCDTRtSY-state-adjusted'!F5</f>
        <v>1.0250937179180255</v>
      </c>
      <c r="G2">
        <f>'BCDTRtSY-state-adjusted'!G5</f>
        <v>1.0314851835982155</v>
      </c>
      <c r="H2">
        <f>'BCDTRtSY-state-adjusted'!H5</f>
        <v>1.0371331912658572</v>
      </c>
      <c r="I2">
        <f>'BCDTRtSY-state-adjusted'!I5</f>
        <v>1.0360847117486272</v>
      </c>
      <c r="J2">
        <f>'BCDTRtSY-state-adjusted'!J5</f>
        <v>1.0352020312862189</v>
      </c>
      <c r="K2">
        <f>'BCDTRtSY-state-adjusted'!K5</f>
        <v>1.0329223072524216</v>
      </c>
      <c r="L2">
        <f>'BCDTRtSY-state-adjusted'!L5</f>
        <v>1.0312498279545086</v>
      </c>
      <c r="M2">
        <f>'BCDTRtSY-state-adjusted'!M5</f>
        <v>1.0287402177577865</v>
      </c>
      <c r="N2">
        <f>'BCDTRtSY-state-adjusted'!N5</f>
        <v>1.0269327921213864</v>
      </c>
      <c r="O2">
        <f>'BCDTRtSY-state-adjusted'!O5</f>
        <v>1.0255586639179344</v>
      </c>
      <c r="P2">
        <f>'BCDTRtSY-state-adjusted'!P5</f>
        <v>1.0242425728185707</v>
      </c>
      <c r="Q2">
        <f>'BCDTRtSY-state-adjusted'!Q5</f>
        <v>1.0223386051155723</v>
      </c>
      <c r="R2">
        <f>'BCDTRtSY-state-adjusted'!R5</f>
        <v>1.0206375410826669</v>
      </c>
      <c r="S2">
        <f>'BCDTRtSY-state-adjusted'!S5</f>
        <v>1.0178340919619899</v>
      </c>
      <c r="T2">
        <f>'BCDTRtSY-state-adjusted'!T5</f>
        <v>1.0149145575314693</v>
      </c>
      <c r="U2">
        <f>'BCDTRtSY-state-adjusted'!U5</f>
        <v>1.0116727486835853</v>
      </c>
      <c r="V2">
        <f>'BCDTRtSY-state-adjusted'!V5</f>
        <v>1.0086559424807302</v>
      </c>
      <c r="W2">
        <f>'BCDTRtSY-state-adjusted'!W5</f>
        <v>1.0054329240040252</v>
      </c>
      <c r="X2">
        <f>'BCDTRtSY-state-adjusted'!X5</f>
        <v>1.0019604518317435</v>
      </c>
      <c r="Y2">
        <f>'BCDTRtSY-state-adjusted'!Y5</f>
        <v>0.99774665278589769</v>
      </c>
      <c r="Z2">
        <f>'BCDTRtSY-state-adjusted'!Z5</f>
        <v>0.99366692071828644</v>
      </c>
      <c r="AA2">
        <f>'BCDTRtSY-state-adjusted'!AA5</f>
        <v>0.98938039091358554</v>
      </c>
      <c r="AB2">
        <f>'BCDTRtSY-state-adjusted'!AB5</f>
        <v>0.98548183451882043</v>
      </c>
    </row>
    <row r="3" spans="1:28">
      <c r="A3" t="s">
        <v>118</v>
      </c>
      <c r="B3">
        <f>'BCDTRtSY-state-adjusted'!B6</f>
        <v>1</v>
      </c>
      <c r="C3">
        <f>'BCDTRtSY-state-adjusted'!C6</f>
        <v>1</v>
      </c>
      <c r="D3">
        <f>'BCDTRtSY-state-adjusted'!D6</f>
        <v>1.0202604706678013</v>
      </c>
      <c r="E3">
        <f>'BCDTRtSY-state-adjusted'!E6</f>
        <v>1.0347669047688501</v>
      </c>
      <c r="F3">
        <f>'BCDTRtSY-state-adjusted'!F6</f>
        <v>1.0458256345950938</v>
      </c>
      <c r="G3">
        <f>'BCDTRtSY-state-adjusted'!G6</f>
        <v>1.0556851376475751</v>
      </c>
      <c r="H3">
        <f>'BCDTRtSY-state-adjusted'!H6</f>
        <v>1.0641417823411714</v>
      </c>
      <c r="I3">
        <f>'BCDTRtSY-state-adjusted'!I6</f>
        <v>1.0646795512768565</v>
      </c>
      <c r="J3">
        <f>'BCDTRtSY-state-adjusted'!J6</f>
        <v>1.0647868405246816</v>
      </c>
      <c r="K3">
        <f>'BCDTRtSY-state-adjusted'!K6</f>
        <v>1.0653718575953592</v>
      </c>
      <c r="L3">
        <f>'BCDTRtSY-state-adjusted'!L6</f>
        <v>1.0654828510786223</v>
      </c>
      <c r="M3">
        <f>'BCDTRtSY-state-adjusted'!M6</f>
        <v>1.0659099647022667</v>
      </c>
      <c r="N3">
        <f>'BCDTRtSY-state-adjusted'!N6</f>
        <v>1.0655591159798463</v>
      </c>
      <c r="O3">
        <f>'BCDTRtSY-state-adjusted'!O6</f>
        <v>1.0653348695067733</v>
      </c>
      <c r="P3">
        <f>'BCDTRtSY-state-adjusted'!P6</f>
        <v>1.0646177414401992</v>
      </c>
      <c r="Q3">
        <f>'BCDTRtSY-state-adjusted'!Q6</f>
        <v>1.0638799745747671</v>
      </c>
      <c r="R3">
        <f>'BCDTRtSY-state-adjusted'!R6</f>
        <v>1.0630913391706835</v>
      </c>
      <c r="S3">
        <f>'BCDTRtSY-state-adjusted'!S6</f>
        <v>1.0612650062535751</v>
      </c>
      <c r="T3">
        <f>'BCDTRtSY-state-adjusted'!T6</f>
        <v>1.0593905776281154</v>
      </c>
      <c r="U3">
        <f>'BCDTRtSY-state-adjusted'!U6</f>
        <v>1.0571932586778614</v>
      </c>
      <c r="V3">
        <f>'BCDTRtSY-state-adjusted'!V6</f>
        <v>1.0548811929242941</v>
      </c>
      <c r="W3">
        <f>'BCDTRtSY-state-adjusted'!W6</f>
        <v>1.0524626885403303</v>
      </c>
      <c r="X3">
        <f>'BCDTRtSY-state-adjusted'!X6</f>
        <v>1.0496791660493894</v>
      </c>
      <c r="Y3">
        <f>'BCDTRtSY-state-adjusted'!Y6</f>
        <v>1.0467923296448605</v>
      </c>
      <c r="Z3">
        <f>'BCDTRtSY-state-adjusted'!Z6</f>
        <v>1.0435522853741592</v>
      </c>
      <c r="AA3">
        <f>'BCDTRtSY-state-adjusted'!AA6</f>
        <v>1.0401540398277287</v>
      </c>
      <c r="AB3">
        <f>'BCDTRtSY-state-adjusted'!AB6</f>
        <v>1.0366972587095431</v>
      </c>
    </row>
    <row r="4" spans="1:28">
      <c r="A4" t="s">
        <v>116</v>
      </c>
      <c r="B4">
        <f>'BCDTRtSY-state-adjusted'!B7</f>
        <v>1</v>
      </c>
      <c r="C4">
        <f>'BCDTRtSY-state-adjusted'!C7</f>
        <v>1</v>
      </c>
      <c r="D4">
        <f>'BCDTRtSY-state-adjusted'!D7</f>
        <v>1.0337089134340476</v>
      </c>
      <c r="E4">
        <f>'BCDTRtSY-state-adjusted'!E7</f>
        <v>1.0549086051290626</v>
      </c>
      <c r="F4">
        <f>'BCDTRtSY-state-adjusted'!F7</f>
        <v>1.065328008906032</v>
      </c>
      <c r="G4">
        <f>'BCDTRtSY-state-adjusted'!G7</f>
        <v>1.0806415171356978</v>
      </c>
      <c r="H4">
        <f>'BCDTRtSY-state-adjusted'!H7</f>
        <v>1.1001883956853262</v>
      </c>
      <c r="I4">
        <f>'BCDTRtSY-state-adjusted'!I7</f>
        <v>1.1122835520888603</v>
      </c>
      <c r="J4">
        <f>'BCDTRtSY-state-adjusted'!J7</f>
        <v>1.1286872299673423</v>
      </c>
      <c r="K4">
        <f>'BCDTRtSY-state-adjusted'!K7</f>
        <v>1.1468740470421042</v>
      </c>
      <c r="L4">
        <f>'BCDTRtSY-state-adjusted'!L7</f>
        <v>1.1672871286146418</v>
      </c>
      <c r="M4">
        <f>'BCDTRtSY-state-adjusted'!M7</f>
        <v>1.1900991200597022</v>
      </c>
      <c r="N4">
        <f>'BCDTRtSY-state-adjusted'!N7</f>
        <v>1.205884867472367</v>
      </c>
      <c r="O4">
        <f>'BCDTRtSY-state-adjusted'!O7</f>
        <v>1.2216408213878591</v>
      </c>
      <c r="P4">
        <f>'BCDTRtSY-state-adjusted'!P7</f>
        <v>1.2370494154736005</v>
      </c>
      <c r="Q4">
        <f>'BCDTRtSY-state-adjusted'!Q7</f>
        <v>1.2513868960247958</v>
      </c>
      <c r="R4">
        <f>'BCDTRtSY-state-adjusted'!R7</f>
        <v>1.2660699037355925</v>
      </c>
      <c r="S4">
        <f>'BCDTRtSY-state-adjusted'!S7</f>
        <v>1.2789579361615988</v>
      </c>
      <c r="T4">
        <f>'BCDTRtSY-state-adjusted'!T7</f>
        <v>1.2927947091206233</v>
      </c>
      <c r="U4">
        <f>'BCDTRtSY-state-adjusted'!U7</f>
        <v>1.3078032200687439</v>
      </c>
      <c r="V4">
        <f>'BCDTRtSY-state-adjusted'!V7</f>
        <v>1.3226123969649568</v>
      </c>
      <c r="W4">
        <f>'BCDTRtSY-state-adjusted'!W7</f>
        <v>1.3374290881405932</v>
      </c>
      <c r="X4">
        <f>'BCDTRtSY-state-adjusted'!X7</f>
        <v>1.3511551040279595</v>
      </c>
      <c r="Y4">
        <f>'BCDTRtSY-state-adjusted'!Y7</f>
        <v>1.362895026326824</v>
      </c>
      <c r="Z4">
        <f>'BCDTRtSY-state-adjusted'!Z7</f>
        <v>1.3747075637587192</v>
      </c>
      <c r="AA4">
        <f>'BCDTRtSY-state-adjusted'!AA7</f>
        <v>1.3854145498207688</v>
      </c>
      <c r="AB4">
        <f>'BCDTRtSY-state-adjusted'!AB7</f>
        <v>1.3964916472372757</v>
      </c>
    </row>
    <row r="5" spans="1:28">
      <c r="A5" t="s">
        <v>121</v>
      </c>
      <c r="B5">
        <f>'BCDTRtSY-state-adjusted'!B8</f>
        <v>1</v>
      </c>
      <c r="C5">
        <f>'BCDTRtSY-state-adjusted'!C8</f>
        <v>1</v>
      </c>
      <c r="D5">
        <f>'BCDTRtSY-state-adjusted'!D8</f>
        <v>1.0661435895022042</v>
      </c>
      <c r="E5">
        <f>'BCDTRtSY-state-adjusted'!E8</f>
        <v>1.1161291433592055</v>
      </c>
      <c r="F5">
        <f>'BCDTRtSY-state-adjusted'!F8</f>
        <v>1.154726089158767</v>
      </c>
      <c r="G5">
        <f>'BCDTRtSY-state-adjusted'!G8</f>
        <v>1.1886264101688639</v>
      </c>
      <c r="H5">
        <f>'BCDTRtSY-state-adjusted'!H8</f>
        <v>1.2179840665242034</v>
      </c>
      <c r="I5">
        <f>'BCDTRtSY-state-adjusted'!I8</f>
        <v>1.235791594402607</v>
      </c>
      <c r="J5">
        <f>'BCDTRtSY-state-adjusted'!J8</f>
        <v>1.2512764787810293</v>
      </c>
      <c r="K5">
        <f>'BCDTRtSY-state-adjusted'!K8</f>
        <v>1.2675176526871379</v>
      </c>
      <c r="L5">
        <f>'BCDTRtSY-state-adjusted'!L8</f>
        <v>1.2786146585866751</v>
      </c>
      <c r="M5">
        <f>'BCDTRtSY-state-adjusted'!M8</f>
        <v>1.2896022844000119</v>
      </c>
      <c r="N5">
        <f>'BCDTRtSY-state-adjusted'!N8</f>
        <v>1.2968349559188848</v>
      </c>
      <c r="O5">
        <f>'BCDTRtSY-state-adjusted'!O8</f>
        <v>1.3048723329919587</v>
      </c>
      <c r="P5">
        <f>'BCDTRtSY-state-adjusted'!P8</f>
        <v>1.3115765938174817</v>
      </c>
      <c r="Q5">
        <f>'BCDTRtSY-state-adjusted'!Q8</f>
        <v>1.3155857247514464</v>
      </c>
      <c r="R5">
        <f>'BCDTRtSY-state-adjusted'!R8</f>
        <v>1.3199118077421086</v>
      </c>
      <c r="S5">
        <f>'BCDTRtSY-state-adjusted'!S8</f>
        <v>1.3223640371157008</v>
      </c>
      <c r="T5">
        <f>'BCDTRtSY-state-adjusted'!T8</f>
        <v>1.3248066245835142</v>
      </c>
      <c r="U5">
        <f>'BCDTRtSY-state-adjusted'!U8</f>
        <v>1.3257124517430878</v>
      </c>
      <c r="V5">
        <f>'BCDTRtSY-state-adjusted'!V8</f>
        <v>1.3273765200355443</v>
      </c>
      <c r="W5">
        <f>'BCDTRtSY-state-adjusted'!W8</f>
        <v>1.3296395955963332</v>
      </c>
      <c r="X5">
        <f>'BCDTRtSY-state-adjusted'!X8</f>
        <v>1.3303093293517989</v>
      </c>
      <c r="Y5">
        <f>'BCDTRtSY-state-adjusted'!Y8</f>
        <v>1.3316454728574176</v>
      </c>
      <c r="Z5">
        <f>'BCDTRtSY-state-adjusted'!Z8</f>
        <v>1.3307613700553966</v>
      </c>
      <c r="AA5">
        <f>'BCDTRtSY-state-adjusted'!AA8</f>
        <v>1.3294723972679998</v>
      </c>
      <c r="AB5">
        <f>'BCDTRtSY-state-adjusted'!AB8</f>
        <v>1.3278846920816676</v>
      </c>
    </row>
    <row r="6" spans="1:28">
      <c r="A6" t="s">
        <v>122</v>
      </c>
      <c r="B6">
        <f>'BCDTRtSY-state-adjusted'!B9</f>
        <v>1</v>
      </c>
      <c r="C6">
        <f>'BCDTRtSY-state-adjusted'!C9</f>
        <v>1</v>
      </c>
      <c r="D6">
        <f>'BCDTRtSY-state-adjusted'!D9</f>
        <v>1.0042353229219738</v>
      </c>
      <c r="E6">
        <f>'BCDTRtSY-state-adjusted'!E9</f>
        <v>1.0013510252971904</v>
      </c>
      <c r="F6">
        <f>'BCDTRtSY-state-adjusted'!F9</f>
        <v>0.99242760143738784</v>
      </c>
      <c r="G6">
        <f>'BCDTRtSY-state-adjusted'!G9</f>
        <v>0.9858994324285123</v>
      </c>
      <c r="H6">
        <f>'BCDTRtSY-state-adjusted'!H9</f>
        <v>0.98163131205552745</v>
      </c>
      <c r="I6">
        <f>'BCDTRtSY-state-adjusted'!I9</f>
        <v>0.97110682165784479</v>
      </c>
      <c r="J6">
        <f>'BCDTRtSY-state-adjusted'!J9</f>
        <v>0.96298682675460967</v>
      </c>
      <c r="K6">
        <f>'BCDTRtSY-state-adjusted'!K9</f>
        <v>0.95610840225934046</v>
      </c>
      <c r="L6">
        <f>'BCDTRtSY-state-adjusted'!L9</f>
        <v>0.95050297944626716</v>
      </c>
      <c r="M6">
        <f>'BCDTRtSY-state-adjusted'!M9</f>
        <v>0.94621346788949912</v>
      </c>
      <c r="N6">
        <f>'BCDTRtSY-state-adjusted'!N9</f>
        <v>0.93901213067996603</v>
      </c>
      <c r="O6">
        <f>'BCDTRtSY-state-adjusted'!O9</f>
        <v>0.93188954163911575</v>
      </c>
      <c r="P6">
        <f>'BCDTRtSY-state-adjusted'!P9</f>
        <v>0.92464720420809232</v>
      </c>
      <c r="Q6">
        <f>'BCDTRtSY-state-adjusted'!Q9</f>
        <v>0.91737786449482595</v>
      </c>
      <c r="R6">
        <f>'BCDTRtSY-state-adjusted'!R9</f>
        <v>0.91024091285758246</v>
      </c>
      <c r="S6">
        <f>'BCDTRtSY-state-adjusted'!S9</f>
        <v>0.90217165092556839</v>
      </c>
      <c r="T6">
        <f>'BCDTRtSY-state-adjusted'!T9</f>
        <v>0.89455562264789812</v>
      </c>
      <c r="U6">
        <f>'BCDTRtSY-state-adjusted'!U9</f>
        <v>0.88726392984582425</v>
      </c>
      <c r="V6">
        <f>'BCDTRtSY-state-adjusted'!V9</f>
        <v>0.88001081529839376</v>
      </c>
      <c r="W6">
        <f>'BCDTRtSY-state-adjusted'!W9</f>
        <v>0.87276486638949891</v>
      </c>
      <c r="X6">
        <f>'BCDTRtSY-state-adjusted'!X9</f>
        <v>0.86511149919417207</v>
      </c>
      <c r="Y6">
        <f>'BCDTRtSY-state-adjusted'!Y9</f>
        <v>0.85688451284939782</v>
      </c>
      <c r="Z6">
        <f>'BCDTRtSY-state-adjusted'!Z9</f>
        <v>0.84857015335434471</v>
      </c>
      <c r="AA6">
        <f>'BCDTRtSY-state-adjusted'!AA9</f>
        <v>0.83994954149205481</v>
      </c>
      <c r="AB6">
        <f>'BCDTRtSY-state-adjusted'!AB9</f>
        <v>0.83163252111340324</v>
      </c>
    </row>
    <row r="7" spans="1:28">
      <c r="A7" t="s">
        <v>123</v>
      </c>
      <c r="B7">
        <f>'BCDTRtSY-state-adjusted'!B10</f>
        <v>1</v>
      </c>
      <c r="C7">
        <f>'BCDTRtSY-state-adjusted'!C10</f>
        <v>1</v>
      </c>
      <c r="D7">
        <f>'BCDTRtSY-state-adjusted'!D10</f>
        <v>1.0081885353543212</v>
      </c>
      <c r="E7">
        <f>'BCDTRtSY-state-adjusted'!E10</f>
        <v>1.0185969420039296</v>
      </c>
      <c r="F7">
        <f>'BCDTRtSY-state-adjusted'!F10</f>
        <v>1.0260731946167196</v>
      </c>
      <c r="G7">
        <f>'BCDTRtSY-state-adjusted'!G10</f>
        <v>1.0333516409111068</v>
      </c>
      <c r="H7">
        <f>'BCDTRtSY-state-adjusted'!H10</f>
        <v>1.0395979187998858</v>
      </c>
      <c r="I7">
        <f>'BCDTRtSY-state-adjusted'!I10</f>
        <v>1.039800442132194</v>
      </c>
      <c r="J7">
        <f>'BCDTRtSY-state-adjusted'!J10</f>
        <v>1.0400478712505601</v>
      </c>
      <c r="K7">
        <f>'BCDTRtSY-state-adjusted'!K10</f>
        <v>1.038753167528037</v>
      </c>
      <c r="L7">
        <f>'BCDTRtSY-state-adjusted'!L10</f>
        <v>1.0378186861472971</v>
      </c>
      <c r="M7">
        <f>'BCDTRtSY-state-adjusted'!M10</f>
        <v>1.0359821271672274</v>
      </c>
      <c r="N7">
        <f>'BCDTRtSY-state-adjusted'!N10</f>
        <v>1.0349513364962235</v>
      </c>
      <c r="O7">
        <f>'BCDTRtSY-state-adjusted'!O10</f>
        <v>1.0343682688070222</v>
      </c>
      <c r="P7">
        <f>'BCDTRtSY-state-adjusted'!P10</f>
        <v>1.0337562121904265</v>
      </c>
      <c r="Q7">
        <f>'BCDTRtSY-state-adjusted'!Q10</f>
        <v>1.0324329355229853</v>
      </c>
      <c r="R7">
        <f>'BCDTRtSY-state-adjusted'!R10</f>
        <v>1.0313389767400294</v>
      </c>
      <c r="S7">
        <f>'BCDTRtSY-state-adjusted'!S10</f>
        <v>1.029413002517217</v>
      </c>
      <c r="T7">
        <f>'BCDTRtSY-state-adjusted'!T10</f>
        <v>1.0272267588674118</v>
      </c>
      <c r="U7">
        <f>'BCDTRtSY-state-adjusted'!U10</f>
        <v>1.0248158419919051</v>
      </c>
      <c r="V7">
        <f>'BCDTRtSY-state-adjusted'!V10</f>
        <v>1.0227334886893491</v>
      </c>
      <c r="W7">
        <f>'BCDTRtSY-state-adjusted'!W10</f>
        <v>1.0205243342266102</v>
      </c>
      <c r="X7">
        <f>'BCDTRtSY-state-adjusted'!X10</f>
        <v>1.0178707247526122</v>
      </c>
      <c r="Y7">
        <f>'BCDTRtSY-state-adjusted'!Y10</f>
        <v>1.0145187734862489</v>
      </c>
      <c r="Z7">
        <f>'BCDTRtSY-state-adjusted'!Z10</f>
        <v>1.0111262963461787</v>
      </c>
      <c r="AA7">
        <f>'BCDTRtSY-state-adjusted'!AA10</f>
        <v>1.007594462536344</v>
      </c>
      <c r="AB7">
        <f>'BCDTRtSY-state-adjusted'!AB10</f>
        <v>1.0044524870616083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92191-9443-457C-88C5-C2ECD9252F25}">
  <sheetPr>
    <tabColor theme="3"/>
  </sheetPr>
  <dimension ref="A1:AB7"/>
  <sheetViews>
    <sheetView workbookViewId="0">
      <selection activeCell="A2" sqref="A2"/>
    </sheetView>
  </sheetViews>
  <sheetFormatPr defaultRowHeight="14.25"/>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'BCDTRtSY-state-adjusted'!B13</f>
        <v>1</v>
      </c>
      <c r="C2">
        <f>'BCDTRtSY-state-adjusted'!C13</f>
        <v>1</v>
      </c>
      <c r="D2">
        <f>'BCDTRtSY-state-adjusted'!D13</f>
        <v>0.99836381190295287</v>
      </c>
      <c r="E2">
        <f>'BCDTRtSY-state-adjusted'!E13</f>
        <v>1.0021822533978297</v>
      </c>
      <c r="F2">
        <f>'BCDTRtSY-state-adjusted'!F13</f>
        <v>1.0056213220488199</v>
      </c>
      <c r="G2">
        <f>'BCDTRtSY-state-adjusted'!G13</f>
        <v>1.0102331593632707</v>
      </c>
      <c r="H2">
        <f>'BCDTRtSY-state-adjusted'!H13</f>
        <v>1.0196873846783714</v>
      </c>
      <c r="I2">
        <f>'BCDTRtSY-state-adjusted'!I13</f>
        <v>1.0216994341139067</v>
      </c>
      <c r="J2">
        <f>'BCDTRtSY-state-adjusted'!J13</f>
        <v>1.0255193454049425</v>
      </c>
      <c r="K2">
        <f>'BCDTRtSY-state-adjusted'!K13</f>
        <v>1.0280222750551977</v>
      </c>
      <c r="L2">
        <f>'BCDTRtSY-state-adjusted'!L13</f>
        <v>1.0324612803494162</v>
      </c>
      <c r="M2">
        <f>'BCDTRtSY-state-adjusted'!M13</f>
        <v>1.037596600567704</v>
      </c>
      <c r="N2">
        <f>'BCDTRtSY-state-adjusted'!N13</f>
        <v>1.0430560674446097</v>
      </c>
      <c r="O2">
        <f>'BCDTRtSY-state-adjusted'!O13</f>
        <v>1.0497614480458008</v>
      </c>
      <c r="P2">
        <f>'BCDTRtSY-state-adjusted'!P13</f>
        <v>1.0576748997482375</v>
      </c>
      <c r="Q2">
        <f>'BCDTRtSY-state-adjusted'!Q13</f>
        <v>1.065926495061666</v>
      </c>
      <c r="R2">
        <f>'BCDTRtSY-state-adjusted'!R13</f>
        <v>1.0746610867136679</v>
      </c>
      <c r="S2">
        <f>'BCDTRtSY-state-adjusted'!S13</f>
        <v>1.0820866350856742</v>
      </c>
      <c r="T2">
        <f>'BCDTRtSY-state-adjusted'!T13</f>
        <v>1.0888663963898106</v>
      </c>
      <c r="U2">
        <f>'BCDTRtSY-state-adjusted'!U13</f>
        <v>1.0930777936433729</v>
      </c>
      <c r="V2">
        <f>'BCDTRtSY-state-adjusted'!V13</f>
        <v>1.0969996167982687</v>
      </c>
      <c r="W2">
        <f>'BCDTRtSY-state-adjusted'!W13</f>
        <v>1.1022357331679311</v>
      </c>
      <c r="X2">
        <f>'BCDTRtSY-state-adjusted'!X13</f>
        <v>1.1079017551604484</v>
      </c>
      <c r="Y2">
        <f>'BCDTRtSY-state-adjusted'!Y13</f>
        <v>1.1142062491682319</v>
      </c>
      <c r="Z2">
        <f>'BCDTRtSY-state-adjusted'!Z13</f>
        <v>1.1192313495216673</v>
      </c>
      <c r="AA2">
        <f>'BCDTRtSY-state-adjusted'!AA13</f>
        <v>1.1249867031929541</v>
      </c>
      <c r="AB2">
        <f>'BCDTRtSY-state-adjusted'!AB13</f>
        <v>1.1299742917214775</v>
      </c>
    </row>
    <row r="3" spans="1:28">
      <c r="A3" t="s">
        <v>118</v>
      </c>
      <c r="B3">
        <f>'BCDTRtSY-state-adjusted'!B14</f>
        <v>1</v>
      </c>
      <c r="C3">
        <f>'BCDTRtSY-state-adjusted'!C14</f>
        <v>1</v>
      </c>
      <c r="D3">
        <f>'BCDTRtSY-state-adjusted'!D14</f>
        <v>1.0130414503504761</v>
      </c>
      <c r="E3">
        <f>'BCDTRtSY-state-adjusted'!E14</f>
        <v>1.0303791982899881</v>
      </c>
      <c r="F3">
        <f>'BCDTRtSY-state-adjusted'!F14</f>
        <v>1.0469045173057363</v>
      </c>
      <c r="G3">
        <f>'BCDTRtSY-state-adjusted'!G14</f>
        <v>1.0608615915916739</v>
      </c>
      <c r="H3">
        <f>'BCDTRtSY-state-adjusted'!H14</f>
        <v>1.0772655884134374</v>
      </c>
      <c r="I3">
        <f>'BCDTRtSY-state-adjusted'!I14</f>
        <v>1.0828045472348806</v>
      </c>
      <c r="J3">
        <f>'BCDTRtSY-state-adjusted'!J14</f>
        <v>1.0892390214730838</v>
      </c>
      <c r="K3">
        <f>'BCDTRtSY-state-adjusted'!K14</f>
        <v>1.0934370618167559</v>
      </c>
      <c r="L3">
        <f>'BCDTRtSY-state-adjusted'!L14</f>
        <v>1.0988784030714545</v>
      </c>
      <c r="M3">
        <f>'BCDTRtSY-state-adjusted'!M14</f>
        <v>1.1041581219536909</v>
      </c>
      <c r="N3">
        <f>'BCDTRtSY-state-adjusted'!N14</f>
        <v>1.1086099220139249</v>
      </c>
      <c r="O3">
        <f>'BCDTRtSY-state-adjusted'!O14</f>
        <v>1.1123425603889121</v>
      </c>
      <c r="P3">
        <f>'BCDTRtSY-state-adjusted'!P14</f>
        <v>1.1150478958608649</v>
      </c>
      <c r="Q3">
        <f>'BCDTRtSY-state-adjusted'!Q14</f>
        <v>1.1171723128010169</v>
      </c>
      <c r="R3">
        <f>'BCDTRtSY-state-adjusted'!R14</f>
        <v>1.1194622943130976</v>
      </c>
      <c r="S3">
        <f>'BCDTRtSY-state-adjusted'!S14</f>
        <v>1.1211756172292382</v>
      </c>
      <c r="T3">
        <f>'BCDTRtSY-state-adjusted'!T14</f>
        <v>1.1223450494408818</v>
      </c>
      <c r="U3">
        <f>'BCDTRtSY-state-adjusted'!U14</f>
        <v>1.1224937224992368</v>
      </c>
      <c r="V3">
        <f>'BCDTRtSY-state-adjusted'!V14</f>
        <v>1.1229419630981796</v>
      </c>
      <c r="W3">
        <f>'BCDTRtSY-state-adjusted'!W14</f>
        <v>1.1252191077245863</v>
      </c>
      <c r="X3">
        <f>'BCDTRtSY-state-adjusted'!X14</f>
        <v>1.1276807811568481</v>
      </c>
      <c r="Y3">
        <f>'BCDTRtSY-state-adjusted'!Y14</f>
        <v>1.1300266284376856</v>
      </c>
      <c r="Z3">
        <f>'BCDTRtSY-state-adjusted'!Z14</f>
        <v>1.1302764692864689</v>
      </c>
      <c r="AA3">
        <f>'BCDTRtSY-state-adjusted'!AA14</f>
        <v>1.1304392883856544</v>
      </c>
      <c r="AB3">
        <f>'BCDTRtSY-state-adjusted'!AB14</f>
        <v>1.1300418043630007</v>
      </c>
    </row>
    <row r="4" spans="1:28">
      <c r="A4" t="s">
        <v>116</v>
      </c>
      <c r="B4">
        <f>'BCDTRtSY-state-adjusted'!B15</f>
        <v>1</v>
      </c>
      <c r="C4">
        <f>'BCDTRtSY-state-adjusted'!C15</f>
        <v>1</v>
      </c>
      <c r="D4">
        <f>'BCDTRtSY-state-adjusted'!D15</f>
        <v>1.0291478815169797</v>
      </c>
      <c r="E4">
        <f>'BCDTRtSY-state-adjusted'!E15</f>
        <v>1.0506067219921569</v>
      </c>
      <c r="F4">
        <f>'BCDTRtSY-state-adjusted'!F15</f>
        <v>1.0656336483747673</v>
      </c>
      <c r="G4">
        <f>'BCDTRtSY-state-adjusted'!G15</f>
        <v>1.0844413843139273</v>
      </c>
      <c r="H4">
        <f>'BCDTRtSY-state-adjusted'!H15</f>
        <v>1.1063316686548834</v>
      </c>
      <c r="I4">
        <f>'BCDTRtSY-state-adjusted'!I15</f>
        <v>1.1212746813177104</v>
      </c>
      <c r="J4">
        <f>'BCDTRtSY-state-adjusted'!J15</f>
        <v>1.1392721407947972</v>
      </c>
      <c r="K4">
        <f>'BCDTRtSY-state-adjusted'!K15</f>
        <v>1.1586466776506215</v>
      </c>
      <c r="L4">
        <f>'BCDTRtSY-state-adjusted'!L15</f>
        <v>1.1796958695164899</v>
      </c>
      <c r="M4">
        <f>'BCDTRtSY-state-adjusted'!M15</f>
        <v>1.2025230026775553</v>
      </c>
      <c r="N4">
        <f>'BCDTRtSY-state-adjusted'!N15</f>
        <v>1.2207427581813923</v>
      </c>
      <c r="O4">
        <f>'BCDTRtSY-state-adjusted'!O15</f>
        <v>1.2390536688022518</v>
      </c>
      <c r="P4">
        <f>'BCDTRtSY-state-adjusted'!P15</f>
        <v>1.2572315613826779</v>
      </c>
      <c r="Q4">
        <f>'BCDTRtSY-state-adjusted'!Q15</f>
        <v>1.2747675711424258</v>
      </c>
      <c r="R4">
        <f>'BCDTRtSY-state-adjusted'!R15</f>
        <v>1.2926455887126711</v>
      </c>
      <c r="S4">
        <f>'BCDTRtSY-state-adjusted'!S15</f>
        <v>1.3092400391593841</v>
      </c>
      <c r="T4">
        <f>'BCDTRtSY-state-adjusted'!T15</f>
        <v>1.3265577892625668</v>
      </c>
      <c r="U4">
        <f>'BCDTRtSY-state-adjusted'!U15</f>
        <v>1.3447589905576862</v>
      </c>
      <c r="V4">
        <f>'BCDTRtSY-state-adjusted'!V15</f>
        <v>1.3629013603160316</v>
      </c>
      <c r="W4">
        <f>'BCDTRtSY-state-adjusted'!W15</f>
        <v>1.3811241019586484</v>
      </c>
      <c r="X4">
        <f>'BCDTRtSY-state-adjusted'!X15</f>
        <v>1.3986668866224434</v>
      </c>
      <c r="Y4">
        <f>'BCDTRtSY-state-adjusted'!Y15</f>
        <v>1.4148954172034576</v>
      </c>
      <c r="Z4">
        <f>'BCDTRtSY-state-adjusted'!Z15</f>
        <v>1.4312516913609628</v>
      </c>
      <c r="AA4">
        <f>'BCDTRtSY-state-adjusted'!AA15</f>
        <v>1.4469108129208512</v>
      </c>
      <c r="AB4">
        <f>'BCDTRtSY-state-adjusted'!AB15</f>
        <v>1.4629251016794915</v>
      </c>
    </row>
    <row r="5" spans="1:28">
      <c r="A5" t="s">
        <v>121</v>
      </c>
      <c r="B5">
        <f>'BCDTRtSY-state-adjusted'!B16</f>
        <v>1</v>
      </c>
      <c r="C5">
        <f>'BCDTRtSY-state-adjusted'!C16</f>
        <v>1</v>
      </c>
      <c r="D5">
        <f>'BCDTRtSY-state-adjusted'!D16</f>
        <v>0.97947668934935983</v>
      </c>
      <c r="E5">
        <f>'BCDTRtSY-state-adjusted'!E16</f>
        <v>1.0133044251323582</v>
      </c>
      <c r="F5">
        <f>'BCDTRtSY-state-adjusted'!F16</f>
        <v>0.9947097054479388</v>
      </c>
      <c r="G5">
        <f>'BCDTRtSY-state-adjusted'!G16</f>
        <v>0.98901189306919102</v>
      </c>
      <c r="H5">
        <f>'BCDTRtSY-state-adjusted'!H16</f>
        <v>0.99775122344550482</v>
      </c>
      <c r="I5">
        <f>'BCDTRtSY-state-adjusted'!I16</f>
        <v>0.96852984406545306</v>
      </c>
      <c r="J5">
        <f>'BCDTRtSY-state-adjusted'!J16</f>
        <v>0.9689678229420573</v>
      </c>
      <c r="K5">
        <f>'BCDTRtSY-state-adjusted'!K16</f>
        <v>0.96954700969630281</v>
      </c>
      <c r="L5">
        <f>'BCDTRtSY-state-adjusted'!L16</f>
        <v>0.9632062512883216</v>
      </c>
      <c r="M5">
        <f>'BCDTRtSY-state-adjusted'!M16</f>
        <v>0.96277235027744967</v>
      </c>
      <c r="N5">
        <f>'BCDTRtSY-state-adjusted'!N16</f>
        <v>0.961485516110405</v>
      </c>
      <c r="O5">
        <f>'BCDTRtSY-state-adjusted'!O16</f>
        <v>0.96156414038474847</v>
      </c>
      <c r="P5">
        <f>'BCDTRtSY-state-adjusted'!P16</f>
        <v>0.95841225936354124</v>
      </c>
      <c r="Q5">
        <f>'BCDTRtSY-state-adjusted'!Q16</f>
        <v>0.95681513892260961</v>
      </c>
      <c r="R5">
        <f>'BCDTRtSY-state-adjusted'!R16</f>
        <v>0.95425295989689696</v>
      </c>
      <c r="S5">
        <f>'BCDTRtSY-state-adjusted'!S16</f>
        <v>0.94963849257313826</v>
      </c>
      <c r="T5">
        <f>'BCDTRtSY-state-adjusted'!T16</f>
        <v>0.94298157914888614</v>
      </c>
      <c r="U5">
        <f>'BCDTRtSY-state-adjusted'!U16</f>
        <v>0.93697640661114079</v>
      </c>
      <c r="V5">
        <f>'BCDTRtSY-state-adjusted'!V16</f>
        <v>0.93338726308946907</v>
      </c>
      <c r="W5">
        <f>'BCDTRtSY-state-adjusted'!W16</f>
        <v>0.92923724688961118</v>
      </c>
      <c r="X5">
        <f>'BCDTRtSY-state-adjusted'!X16</f>
        <v>0.92751671892605481</v>
      </c>
      <c r="Y5">
        <f>'BCDTRtSY-state-adjusted'!Y16</f>
        <v>0.92930797998841363</v>
      </c>
      <c r="Z5">
        <f>'BCDTRtSY-state-adjusted'!Z16</f>
        <v>0.92858151066229611</v>
      </c>
      <c r="AA5">
        <f>'BCDTRtSY-state-adjusted'!AA16</f>
        <v>0.92228951278355109</v>
      </c>
      <c r="AB5">
        <f>'BCDTRtSY-state-adjusted'!AB16</f>
        <v>0.91665932633869662</v>
      </c>
    </row>
    <row r="6" spans="1:28">
      <c r="A6" t="s">
        <v>122</v>
      </c>
      <c r="B6">
        <f>'BCDTRtSY-state-adjusted'!B17</f>
        <v>1</v>
      </c>
      <c r="C6">
        <f>'BCDTRtSY-state-adjusted'!C17</f>
        <v>1</v>
      </c>
      <c r="D6">
        <f>'BCDTRtSY-state-adjusted'!D17</f>
        <v>0.9943815983229578</v>
      </c>
      <c r="E6">
        <f>'BCDTRtSY-state-adjusted'!E17</f>
        <v>1.0158323492021499</v>
      </c>
      <c r="F6">
        <f>'BCDTRtSY-state-adjusted'!F17</f>
        <v>1.0393913095301628</v>
      </c>
      <c r="G6">
        <f>'BCDTRtSY-state-adjusted'!G17</f>
        <v>1.0596297055276775</v>
      </c>
      <c r="H6">
        <f>'BCDTRtSY-state-adjusted'!H17</f>
        <v>1.0808648715884823</v>
      </c>
      <c r="I6">
        <f>'BCDTRtSY-state-adjusted'!I17</f>
        <v>1.0942309600409619</v>
      </c>
      <c r="J6">
        <f>'BCDTRtSY-state-adjusted'!J17</f>
        <v>1.1095572253571597</v>
      </c>
      <c r="K6">
        <f>'BCDTRtSY-state-adjusted'!K17</f>
        <v>1.1250637598194038</v>
      </c>
      <c r="L6">
        <f>'BCDTRtSY-state-adjusted'!L17</f>
        <v>1.1411744517168079</v>
      </c>
      <c r="M6">
        <f>'BCDTRtSY-state-adjusted'!M17</f>
        <v>1.1581711428564825</v>
      </c>
      <c r="N6">
        <f>'BCDTRtSY-state-adjusted'!N17</f>
        <v>1.1710533417904267</v>
      </c>
      <c r="O6">
        <f>'BCDTRtSY-state-adjusted'!O17</f>
        <v>1.1805223686125168</v>
      </c>
      <c r="P6">
        <f>'BCDTRtSY-state-adjusted'!P17</f>
        <v>1.1899069792966244</v>
      </c>
      <c r="Q6">
        <f>'BCDTRtSY-state-adjusted'!Q17</f>
        <v>1.1980519002605619</v>
      </c>
      <c r="R6">
        <f>'BCDTRtSY-state-adjusted'!R17</f>
        <v>1.2062104913600631</v>
      </c>
      <c r="S6">
        <f>'BCDTRtSY-state-adjusted'!S17</f>
        <v>1.213587604336438</v>
      </c>
      <c r="T6">
        <f>'BCDTRtSY-state-adjusted'!T17</f>
        <v>1.2219300315478276</v>
      </c>
      <c r="U6">
        <f>'BCDTRtSY-state-adjusted'!U17</f>
        <v>1.2297812830213952</v>
      </c>
      <c r="V6">
        <f>'BCDTRtSY-state-adjusted'!V17</f>
        <v>1.2374098507376257</v>
      </c>
      <c r="W6">
        <f>'BCDTRtSY-state-adjusted'!W17</f>
        <v>1.2462689981497437</v>
      </c>
      <c r="X6">
        <f>'BCDTRtSY-state-adjusted'!X17</f>
        <v>1.2551929721343684</v>
      </c>
      <c r="Y6">
        <f>'BCDTRtSY-state-adjusted'!Y17</f>
        <v>1.2642143196201954</v>
      </c>
      <c r="Z6">
        <f>'BCDTRtSY-state-adjusted'!Z17</f>
        <v>1.2724115849463504</v>
      </c>
      <c r="AA6">
        <f>'BCDTRtSY-state-adjusted'!AA17</f>
        <v>1.2802332620321859</v>
      </c>
      <c r="AB6">
        <f>'BCDTRtSY-state-adjusted'!AB17</f>
        <v>1.2893431895163843</v>
      </c>
    </row>
    <row r="7" spans="1:28">
      <c r="A7" t="s">
        <v>123</v>
      </c>
      <c r="B7">
        <f>'BCDTRtSY-state-adjusted'!B18</f>
        <v>0</v>
      </c>
      <c r="C7">
        <f>'BCDTRtSY-state-adjusted'!C18</f>
        <v>0</v>
      </c>
      <c r="D7">
        <f>'BCDTRtSY-state-adjusted'!D18</f>
        <v>0</v>
      </c>
      <c r="E7">
        <f>'BCDTRtSY-state-adjusted'!E18</f>
        <v>0</v>
      </c>
      <c r="F7">
        <f>'BCDTRtSY-state-adjusted'!F18</f>
        <v>0</v>
      </c>
      <c r="G7">
        <f>'BCDTRtSY-state-adjusted'!G18</f>
        <v>0</v>
      </c>
      <c r="H7">
        <f>'BCDTRtSY-state-adjusted'!H18</f>
        <v>0</v>
      </c>
      <c r="I7">
        <f>'BCDTRtSY-state-adjusted'!I18</f>
        <v>0</v>
      </c>
      <c r="J7">
        <f>'BCDTRtSY-state-adjusted'!J18</f>
        <v>0</v>
      </c>
      <c r="K7">
        <f>'BCDTRtSY-state-adjusted'!K18</f>
        <v>0</v>
      </c>
      <c r="L7">
        <f>'BCDTRtSY-state-adjusted'!L18</f>
        <v>0</v>
      </c>
      <c r="M7">
        <f>'BCDTRtSY-state-adjusted'!M18</f>
        <v>0</v>
      </c>
      <c r="N7">
        <f>'BCDTRtSY-state-adjusted'!N18</f>
        <v>0</v>
      </c>
      <c r="O7">
        <f>'BCDTRtSY-state-adjusted'!O18</f>
        <v>0</v>
      </c>
      <c r="P7">
        <f>'BCDTRtSY-state-adjusted'!P18</f>
        <v>0</v>
      </c>
      <c r="Q7">
        <f>'BCDTRtSY-state-adjusted'!Q18</f>
        <v>0</v>
      </c>
      <c r="R7">
        <f>'BCDTRtSY-state-adjusted'!R18</f>
        <v>0</v>
      </c>
      <c r="S7">
        <f>'BCDTRtSY-state-adjusted'!S18</f>
        <v>0</v>
      </c>
      <c r="T7">
        <f>'BCDTRtSY-state-adjusted'!T18</f>
        <v>0</v>
      </c>
      <c r="U7">
        <f>'BCDTRtSY-state-adjusted'!U18</f>
        <v>0</v>
      </c>
      <c r="V7">
        <f>'BCDTRtSY-state-adjusted'!V18</f>
        <v>0</v>
      </c>
      <c r="W7">
        <f>'BCDTRtSY-state-adjusted'!W18</f>
        <v>0</v>
      </c>
      <c r="X7">
        <f>'BCDTRtSY-state-adjusted'!X18</f>
        <v>0</v>
      </c>
      <c r="Y7">
        <f>'BCDTRtSY-state-adjusted'!Y18</f>
        <v>0</v>
      </c>
      <c r="Z7">
        <f>'BCDTRtSY-state-adjusted'!Z18</f>
        <v>0</v>
      </c>
      <c r="AA7">
        <f>'BCDTRtSY-state-adjusted'!AA18</f>
        <v>0</v>
      </c>
      <c r="AB7">
        <f>'BCDTRtSY-state-adjusted'!AB18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About</vt:lpstr>
      <vt:lpstr>Sources</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GHG Inventory</vt:lpstr>
      <vt:lpstr>AEO 2022 Table 36</vt:lpstr>
      <vt:lpstr>calcs&gt;</vt:lpstr>
      <vt:lpstr>calibration multiplier</vt:lpstr>
      <vt:lpstr>About-state-adjustment</vt:lpstr>
      <vt:lpstr>Pop_yearly_lookup</vt:lpstr>
      <vt:lpstr>Cooper_pop_2030_2050</vt:lpstr>
      <vt:lpstr>Census_pop_2020_2025</vt:lpstr>
      <vt:lpstr>US-calcs</vt:lpstr>
      <vt:lpstr>BCDTRtSY-psgr-US</vt:lpstr>
      <vt:lpstr>BCDTRtSY-frgt-US</vt:lpstr>
      <vt:lpstr>BCDTRtSY-state-adjusted</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2026-08-14T21:48:57Z</dcterms:modified>
</cp:coreProperties>
</file>