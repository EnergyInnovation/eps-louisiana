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Keys" sheetId="2" state="visible" r:id="rId2"/>
    <sheet name="1_Source_V001_Compensation" sheetId="3" state="visible" r:id="rId3"/>
    <sheet name="1b_Source_ValueAdded_full" sheetId="4" state="visible" r:id="rId4"/>
    <sheet name="Src_Stateior_SoI_Make" sheetId="5" state="visible" r:id="rId5"/>
    <sheet name="Src_Disagg_EIA_coal" sheetId="6" state="visible" r:id="rId6"/>
    <sheet name="Src_Disagg_heuristics" sheetId="7" state="visible" r:id="rId7"/>
    <sheet name="Crosswalk_BEA_to_ISIC" sheetId="8" state="visible" r:id="rId8"/>
    <sheet name="State_disagg_splits" sheetId="9" state="visible" r:id="rId9"/>
    <sheet name="NAICS_to_ISIC_Key" sheetId="10" state="visible" r:id="rId10"/>
    <sheet name="5_Calc_ISIC_aggregation" sheetId="11" state="visible" r:id="rId11"/>
    <sheet name="BECbIC" sheetId="12" state="visible" r:id="rId12"/>
  </sheets>
  <calcPr calcId="191029" fullCalcOnLoad="1"/>
</workbook>
</file>

<file path=xl/sharedStrings.xml><?xml version="1.0" encoding="utf-8"?>
<sst xmlns="http://schemas.openxmlformats.org/spreadsheetml/2006/main" count="577" uniqueCount="577">
  <si>
    <t xml:space="preserve">BECbIC - BAU Employee Compensation by ISIC Code</t>
  </si>
  <si>
    <t xml:space="preserve"/>
  </si>
  <si>
    <t xml:space="preserve">State: Louisiana (LA)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</si>
  <si>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</si>
  <si>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</si>
  <si>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</si>
  <si>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Employee compensation by ISIC is the V001 row of stateior's</t>
  </si>
  <si>
    <t xml:space="preserve">ValueAdded component per industry, aggregated to 42 ISIC using the</t>
  </si>
  <si>
    <t xml:space="preserve">canonical BEA-to-ISIC crosswalk.</t>
  </si>
  <si>
    <t xml:space="preserve">Deflated from nominal 2019 USD to 2012 USD.</t>
  </si>
  <si>
    <t xml:space="preserve">In-workbook derivation</t>
  </si>
  <si>
    <t xml:space="preserve">----------------------</t>
  </si>
  <si>
    <t xml:space="preserve">The output tab is computed by Excel formulas, not pasted values. On the calc</t>
  </si>
  <si>
    <t xml:space="preserve">tab, STEP 1 pulls each BEA Summary value from the source tab via INDEX/MATCH</t>
  </si>
  <si>
    <t xml:space="preserve">and multiplies it by that mapping's allocation weight; STEP 2 SUMIFS the</t>
  </si>
  <si>
    <t xml:space="preserve">weighted values to the 42 ISIC codes and divides by the deflator (Keys!$C$2)</t>
  </si>
  <si>
    <t xml:space="preserve">to express the result in 2012 USD. Edit any source or Keys cell and the</t>
  </si>
  <si>
    <t xml:space="preserve">output recomputes.</t>
  </si>
  <si>
    <t xml:space="preserve">Allocation weights (the BEA -&gt; ISIC crosswalk)</t>
  </si>
  <si>
    <t xml:space="preserve">----------------------------------------------</t>
  </si>
  <si>
    <t xml:space="preserve">Each BEA Summary sector's value is mapped to the 42-ISIC scheme via the</t>
  </si>
  <si>
    <t xml:space="preserve">'2_Crosswalk_BEA_to_ISIC' tab. allocation_weight (STEP 1, column C of the</t>
  </si>
  <si>
    <t xml:space="preserve">calc tab) is the fraction of a BEA sector assigned to each ISIC code; the</t>
  </si>
  <si>
    <t xml:space="preserve">weights for any one BEA code always sum to 1.0.</t>
  </si>
  <si>
    <t xml:space="preserve">Most BEA codes map 1:1 to a single ISIC with weight = 1.0 - a definitional</t>
  </si>
  <si>
    <t xml:space="preserve">mapping, not an assumption. Seven BEA sectors are SPLIT across multiple ISIC</t>
  </si>
  <si>
    <t xml:space="preserve">codes, in two groups:</t>
  </si>
  <si>
    <t xml:space="preserve">A. State-specific, data-derived splits - recomputed for each state (see the</t>
  </si>
  <si>
    <t xml:space="preserve">   '3_State_disagg_splits' tab for the ratio + data source used for THIS</t>
  </si>
  <si>
    <t xml:space="preserve">   state, and its provenance):</t>
  </si>
  <si>
    <t xml:space="preserve">     212 mining         -&gt; 05 coal + 07T08 other mining.</t>
  </si>
  <si>
    <t xml:space="preserve">         weight = coal / (coal + nonfuel) mine value, from EIA-7A coal +</t>
  </si>
  <si>
    <t xml:space="preserve">         USGS Minerals Yearbook nonfuel production value, each deflated to</t>
  </si>
  <si>
    <t xml:space="preserve">         2012 USD so the ratio is vintage-consistent.</t>
  </si>
  <si>
    <t xml:space="preserve">     325 chemicals      -&gt; 20 basic chemicals + 21 pharmaceuticals</t>
  </si>
  <si>
    <t xml:space="preserve">     327 nonmetallic    -&gt; 231 glass + 239 cement/other</t>
  </si>
  <si>
    <t xml:space="preserve">     331 primary metals -&gt; 241 iron &amp; steel + 242 other metals</t>
  </si>
  <si>
    <t xml:space="preserve">         (325/327/331: Census ASM value-added shares where available, else</t>
  </si>
  <si>
    <t xml:space="preserve">          EPA GHGRP facility/emissions proxies, else documented heuristics.)</t>
  </si>
  <si>
    <t xml:space="preserve">B. Fixed national splits - the same weights for every state, carried in the</t>
  </si>
  <si>
    <t xml:space="preserve">   base crosswalk (not state-specific):</t>
  </si>
  <si>
    <t xml:space="preserve">     22  utilities                  -&gt; 351 power + 352T353 gas + 36T39 water</t>
  </si>
  <si>
    <t xml:space="preserve">     324 petroleum &amp; coal products  -&gt; 19 refining + 241 iron &amp; steel (coke)</t>
  </si>
  <si>
    <t xml:space="preserve">     513 information                -&gt; 58T60 media + 61 telecommunications</t>
  </si>
  <si>
    <t xml:space="preserve">So the ISIC detail is only as fine as these weights: group-A weights carry</t>
  </si>
  <si>
    <t xml:space="preserve">this state's industry mix; group-B weights are national constants.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</si>
  <si>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</si>
  <si>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</si>
  <si>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</si>
  <si>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</si>
  <si>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</si>
  <si>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</si>
  <si>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</si>
  <si>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</si>
  <si>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</si>
  <si>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</si>
  <si>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</si>
  <si>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</si>
  <si>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</si>
  <si>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</si>
  <si>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</si>
  <si>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</si>
  <si>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</si>
  <si>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</si>
  <si>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</si>
  <si>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</si>
  <si>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</si>
  <si>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</si>
  <si>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</si>
  <si>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</si>
  <si>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</si>
  <si>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</si>
  <si>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</si>
  <si>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</si>
  <si>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</si>
  <si>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</si>
  <si>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</si>
  <si>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</si>
  <si>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</si>
  <si>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</si>
  <si>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</si>
  <si>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</si>
  <si>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</si>
  <si>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</si>
  <si>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</si>
  <si>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</si>
  <si>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</si>
  <si>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</si>
  <si>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</si>
  <si>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</si>
  <si>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</si>
  <si>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</si>
  <si>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</si>
  <si>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</si>
  <si>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</si>
  <si>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</si>
  <si>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</si>
  <si>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Tabs:</t>
  </si>
  <si>
    <t xml:space="preserve">  1. About</t>
  </si>
  <si>
    <t xml:space="preserve">  2. 1_Source_V001_Compensation</t>
  </si>
  <si>
    <t xml:space="preserve">  3. 1b_Source_ValueAdded_full - full V001/V002/V003 matrix for context</t>
  </si>
  <si>
    <t xml:space="preserve">  4. Src_Stateior_SoI_Make - full 71x73 state SoI Make matrix (raw)</t>
  </si>
  <si>
    <t xml:space="preserve">  5. Src_Disagg_EIA_coal - raw EIA-7A 2019 coal production for all 51 states</t>
  </si>
  <si>
    <t xml:space="preserve">  6. Src_Disagg_heuristics - 327/331/325 hand-curated fallback tables</t>
  </si>
  <si>
    <t xml:space="preserve">  7. 2_Crosswalk_BEA_to_ISIC</t>
  </si>
  <si>
    <t xml:space="preserve">  8. 3_State_disagg_splits</t>
  </si>
  <si>
    <t xml:space="preserve">  9. 4_NAICS_to_ISIC_Key</t>
  </si>
  <si>
    <t xml:space="preserve">  10. 5_Calc_ISIC_aggregation</t>
  </si>
  <si>
    <t xml:space="preserve">  11. BECbIC - final compensation vector (matches BECbIC.csv)</t>
  </si>
  <si>
    <t xml:space="preserve">category</t>
  </si>
  <si>
    <t xml:space="preserve">key</t>
  </si>
  <si>
    <t xml:space="preserve">value</t>
  </si>
  <si>
    <t xml:space="preserve">description</t>
  </si>
  <si>
    <t xml:space="preserve">deflator</t>
  </si>
  <si>
    <t xml:space="preserve">deflator_nominal_to_2012</t>
  </si>
  <si>
    <t xml:space="preserve">Divide nominal 2019 USD by this to get 2012 USD. BEA chained GDP price index; 2012 = 100.000, 2019 = 112.266</t>
  </si>
  <si>
    <t xml:space="preserve">year</t>
  </si>
  <si>
    <t xml:space="preserve">base_year</t>
  </si>
  <si>
    <t xml:space="preserve">stateior base year; nominal-USD vintage of the source tabs</t>
  </si>
  <si>
    <t xml:space="preserve">numeric</t>
  </si>
  <si>
    <t xml:space="preserve">epsilon_div_floor</t>
  </si>
  <si>
    <t xml:space="preserve">Denominator floor for ratio outputs (DCS, ESoP): x/MAX(den, epsilon) avoids div-by-zero; mirrors pmax(den, 1e-9) in the R pipeline</t>
  </si>
  <si>
    <t xml:space="preserve">fogp_denom_floor_usd</t>
  </si>
  <si>
    <t xml:space="preserve">FoGP-entity denominator floor: total purchases per category floored at $1 (mirrors pmax(total, 1)); near-zero totals give near-zero fractions</t>
  </si>
  <si>
    <t xml:space="preserve">BEA_Summary_code</t>
  </si>
  <si>
    <t xml:space="preserve">comp_USD_2019nominal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</si>
  <si>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</si>
  <si>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</si>
  <si>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</si>
  <si>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</si>
  <si>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</si>
  <si>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</si>
  <si>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</si>
  <si>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</si>
  <si>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</si>
  <si>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</si>
  <si>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</si>
  <si>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</si>
  <si>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</si>
  <si>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</si>
  <si>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</si>
  <si>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</si>
  <si>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</si>
  <si>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</si>
  <si>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</si>
  <si>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</si>
  <si>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</si>
  <si>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</si>
  <si>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</si>
  <si>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</si>
  <si>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</si>
  <si>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</si>
  <si>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</si>
  <si>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</si>
  <si>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</si>
  <si>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</si>
  <si>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</si>
  <si>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</si>
  <si>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</si>
  <si>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</si>
  <si>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</si>
  <si>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</si>
  <si>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</si>
  <si>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</si>
  <si>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</si>
  <si>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</si>
  <si>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</si>
  <si>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</si>
  <si>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</si>
  <si>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</si>
  <si>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</si>
  <si>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</si>
  <si>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</si>
  <si>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</si>
  <si>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</si>
  <si>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</si>
  <si>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</si>
  <si>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</si>
  <si>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</si>
  <si>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</si>
  <si>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</si>
  <si>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</si>
  <si>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</si>
  <si>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</si>
  <si>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</si>
  <si>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</si>
  <si>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</si>
  <si>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</si>
  <si>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</si>
  <si>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</si>
  <si>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</si>
  <si>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</si>
  <si>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</si>
  <si>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</si>
  <si>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</si>
  <si>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</si>
  <si>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</si>
  <si>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VA_row (V001-V003)</t>
  </si>
  <si>
    <t xml:space="preserve">V001</t>
  </si>
  <si>
    <t xml:space="preserve">V002</t>
  </si>
  <si>
    <t xml:space="preserve">V003</t>
  </si>
  <si>
    <t xml:space="preserve">State-of-Interest Make matrix (V) at BEA Summary resolution, from EPA</t>
  </si>
  <si>
    <t xml:space="preserve">stateior's two-region MRIO build for this state and base year. Rows =</t>
  </si>
  <si>
    <t xml:space="preserve">industries, columns = commodities. Values are in nominal 2019 USD as</t>
  </si>
  <si>
    <t xml:space="preserve">emitted by stateior. This is the raw input aggregated to 42 ISIC for</t>
  </si>
  <si>
    <t xml:space="preserve">the final output in this workbook.</t>
  </si>
  <si>
    <t xml:space="preserve">industry</t>
  </si>
  <si>
    <t xml:space="preserve">Used</t>
  </si>
  <si>
    <t xml:space="preserve">Other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</si>
  <si>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</si>
  <si>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</si>
  <si>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</si>
  <si>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LA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</si>
  <si>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</si>
  <si>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</si>
  <si>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</si>
  <si>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</si>
  <si>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</si>
  <si>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</si>
  <si>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</si>
  <si>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</si>
  <si>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</si>
  <si>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</si>
  <si>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</si>
  <si>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</si>
  <si>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</si>
  <si>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</si>
  <si>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</si>
  <si>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</si>
  <si>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</si>
  <si>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</si>
  <si>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</si>
  <si>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</si>
  <si>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</si>
  <si>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</si>
  <si>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</si>
  <si>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</si>
  <si>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</si>
  <si>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</si>
  <si>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</si>
  <si>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</si>
  <si>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</si>
  <si>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</si>
  <si>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</si>
  <si>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</si>
  <si>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</si>
  <si>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</si>
  <si>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</si>
  <si>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</si>
  <si>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</si>
  <si>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</si>
  <si>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</si>
  <si>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</si>
  <si>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</si>
  <si>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</si>
  <si>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</si>
  <si>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</si>
  <si>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</si>
  <si>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</si>
  <si>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</si>
  <si>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</si>
  <si>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</si>
  <si>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</si>
  <si>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</si>
  <si>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</si>
  <si>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</si>
  <si>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</si>
  <si>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</si>
  <si>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</si>
  <si>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</si>
  <si>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</si>
  <si>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</si>
  <si>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</si>
  <si>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</si>
  <si>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</si>
  <si>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</si>
  <si>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</si>
  <si>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</si>
  <si>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</si>
  <si>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</si>
  <si>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</si>
  <si>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</si>
  <si>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</si>
  <si>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</si>
  <si>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</si>
  <si>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</si>
  <si>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</si>
  <si>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</si>
  <si>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</si>
  <si>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</si>
  <si>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</si>
  <si>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</si>
  <si>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</si>
  <si>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</si>
  <si>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</si>
  <si>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</si>
  <si>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</si>
  <si>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</si>
  <si>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</si>
  <si>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</si>
  <si>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</si>
  <si>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</si>
  <si>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</si>
  <si>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</si>
  <si>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</si>
  <si>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</si>
  <si>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</si>
  <si>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</si>
  <si>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</si>
  <si>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</si>
  <si>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</si>
  <si>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LA.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</si>
  <si>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</si>
  <si>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</si>
  <si>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</si>
  <si>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</si>
  <si>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</si>
  <si>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ISIC_code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</si>
  <si>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</si>
  <si>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</si>
  <si>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</si>
  <si>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</si>
  <si>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</si>
  <si>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01T03</t>
  </si>
  <si>
    <t xml:space="preserve">Agriculture, forestry, fishing</t>
  </si>
  <si>
    <t xml:space="preserve">Forestry, fishing, related</t>
  </si>
  <si>
    <t xml:space="preserve">Oil and gas extraction</t>
  </si>
  <si>
    <t xml:space="preserve">06</t>
  </si>
  <si>
    <t xml:space="preserve">Extraction of crude petroleum and natural gas</t>
  </si>
  <si>
    <t xml:space="preserve">Support activities for mining</t>
  </si>
  <si>
    <t xml:space="preserve">09</t>
  </si>
  <si>
    <t xml:space="preserve">Mining support service activities</t>
  </si>
  <si>
    <t xml:space="preserve">Utilities</t>
  </si>
  <si>
    <t xml:space="preserve">351</t>
  </si>
  <si>
    <t xml:space="preserve">Electricity</t>
  </si>
  <si>
    <t xml:space="preserve">BEA 2012 Detail: electric ~72% of 22 output</t>
  </si>
  <si>
    <t xml:space="preserve">352T353</t>
  </si>
  <si>
    <t xml:space="preserve">Gas, steam, AC</t>
  </si>
  <si>
    <t xml:space="preserve">BEA Detail: gas distribution ~20%</t>
  </si>
  <si>
    <t xml:space="preserve">36T39</t>
  </si>
  <si>
    <t xml:space="preserve">Water, sewerage, waste</t>
  </si>
  <si>
    <t xml:space="preserve">BEA Detail: water/sewage ~8%</t>
  </si>
  <si>
    <t xml:space="preserve">Construction</t>
  </si>
  <si>
    <t xml:space="preserve">41T43</t>
  </si>
  <si>
    <t xml:space="preserve">Food, beverage, tobacco</t>
  </si>
  <si>
    <t xml:space="preserve">10T12</t>
  </si>
  <si>
    <t xml:space="preserve">Food, beverages, tobacco</t>
  </si>
  <si>
    <t xml:space="preserve">Textile mills and textile product mills</t>
  </si>
  <si>
    <t xml:space="preserve">13T15</t>
  </si>
  <si>
    <t xml:space="preserve">Textiles, apparel, leather</t>
  </si>
  <si>
    <t xml:space="preserve">Apparel and leather</t>
  </si>
  <si>
    <t xml:space="preserve">Wood products</t>
  </si>
  <si>
    <t xml:space="preserve">16</t>
  </si>
  <si>
    <t xml:space="preserve">Wood and products of wood and cork</t>
  </si>
  <si>
    <t xml:space="preserve">Paper products</t>
  </si>
  <si>
    <t xml:space="preserve">17T18</t>
  </si>
  <si>
    <t xml:space="preserve">Paper products and printing</t>
  </si>
  <si>
    <t xml:space="preserve">Printing and related</t>
  </si>
  <si>
    <t xml:space="preserve">Petroleum and coal products</t>
  </si>
  <si>
    <t xml:space="preserve">19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</si>
  <si>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</si>
  <si>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</si>
  <si>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241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</si>
  <si>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</si>
  <si>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</si>
  <si>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</si>
  <si>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</si>
  <si>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</si>
  <si>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25</t>
  </si>
  <si>
    <t xml:space="preserve">Machinery</t>
  </si>
  <si>
    <t xml:space="preserve">28</t>
  </si>
  <si>
    <t xml:space="preserve">Machinery and equipment n.e.c.</t>
  </si>
  <si>
    <t xml:space="preserve">Computer and electronic products</t>
  </si>
  <si>
    <t xml:space="preserve">26</t>
  </si>
  <si>
    <t xml:space="preserve">Computer, electronic and optical products</t>
  </si>
  <si>
    <t xml:space="preserve">Electrical equipment, appliances</t>
  </si>
  <si>
    <t xml:space="preserve">27</t>
  </si>
  <si>
    <t xml:space="preserve">Electrical equipment</t>
  </si>
  <si>
    <t xml:space="preserve">Motor vehicles, bodies, trailers, parts</t>
  </si>
  <si>
    <t xml:space="preserve">29</t>
  </si>
  <si>
    <t xml:space="preserve">Motor vehicles, trailers, semi-trailers</t>
  </si>
  <si>
    <t xml:space="preserve">Other transportation equipment</t>
  </si>
  <si>
    <t xml:space="preserve">30</t>
  </si>
  <si>
    <t xml:space="preserve">Other transport equipment</t>
  </si>
  <si>
    <t xml:space="preserve">Furniture and related products</t>
  </si>
  <si>
    <t xml:space="preserve">31T33</t>
  </si>
  <si>
    <t xml:space="preserve">Furniture; other manufacturing; repair</t>
  </si>
  <si>
    <t xml:space="preserve">Miscellaneous manufacturing</t>
  </si>
  <si>
    <t xml:space="preserve">Wholesale trade</t>
  </si>
  <si>
    <t xml:space="preserve">45T47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</si>
  <si>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</si>
  <si>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</si>
  <si>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</si>
  <si>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</si>
  <si>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</si>
  <si>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</si>
  <si>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49T53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</si>
  <si>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</si>
  <si>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</si>
  <si>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</si>
  <si>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</si>
  <si>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</si>
  <si>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</si>
  <si>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</si>
  <si>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</si>
  <si>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</si>
  <si>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</si>
  <si>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</si>
  <si>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58T60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</si>
  <si>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</si>
  <si>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</si>
  <si>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</si>
  <si>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</si>
  <si>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</si>
  <si>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</si>
  <si>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62T63</t>
  </si>
  <si>
    <t xml:space="preserve">IT and other information services</t>
  </si>
  <si>
    <t xml:space="preserve">Federal Reserve banks, credit intermediation</t>
  </si>
  <si>
    <t xml:space="preserve">64T66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</si>
  <si>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</si>
  <si>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</si>
  <si>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</si>
  <si>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</si>
  <si>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</si>
  <si>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68</t>
  </si>
  <si>
    <t xml:space="preserve">Real estate activities</t>
  </si>
  <si>
    <t xml:space="preserve">Other real estate</t>
  </si>
  <si>
    <t xml:space="preserve">Rental and leasing (excl real estate)</t>
  </si>
  <si>
    <t xml:space="preserve">69T82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</si>
  <si>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</si>
  <si>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</si>
  <si>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</si>
  <si>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</si>
  <si>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</si>
  <si>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</si>
  <si>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</si>
  <si>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</si>
  <si>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</si>
  <si>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</si>
  <si>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</si>
  <si>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85</t>
  </si>
  <si>
    <t xml:space="preserve">Education</t>
  </si>
  <si>
    <t xml:space="preserve">Ambulatory health care</t>
  </si>
  <si>
    <t xml:space="preserve">86T88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</si>
  <si>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</si>
  <si>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</si>
  <si>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</si>
  <si>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</si>
  <si>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</si>
  <si>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90T96</t>
  </si>
  <si>
    <t xml:space="preserve">Arts, entertainment and other services</t>
  </si>
  <si>
    <t xml:space="preserve">Amusements, gambling, recreation</t>
  </si>
  <si>
    <t xml:space="preserve">Accommodation</t>
  </si>
  <si>
    <t xml:space="preserve">55T56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</si>
  <si>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</si>
  <si>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</si>
  <si>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</si>
  <si>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</si>
  <si>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84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</si>
  <si>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</si>
  <si>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</si>
  <si>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</si>
  <si>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</si>
  <si>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</si>
  <si>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</si>
  <si>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05</t>
  </si>
  <si>
    <t xml:space="preserve">Mining of coal and lignite</t>
  </si>
  <si>
    <t xml:space="preserve">coal/(coal+nonfuel) mine-value share, 2012 USD: EIA coal 2019 $53M + USGS T3 nonfuel 2021 $676M [nonfuel partial total] -&gt; coal share 0.073 (applied to stateior 212 $666M)</t>
  </si>
  <si>
    <t xml:space="preserve">07T08</t>
  </si>
  <si>
    <t xml:space="preserve">Other mining and quarrying</t>
  </si>
  <si>
    <t xml:space="preserve">Nonmetallic minerals</t>
  </si>
  <si>
    <t xml:space="preserve">231</t>
  </si>
  <si>
    <t xml:space="preserve">Glass</t>
  </si>
  <si>
    <t xml:space="preserve">HEURISTIC (GHGRP Subpart H cement state list + glass industry profile; Census ASM suppressed or missing)</t>
  </si>
  <si>
    <t xml:space="preserve">239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</si>
  <si>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</si>
  <si>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</si>
  <si>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</si>
  <si>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242</t>
  </si>
  <si>
    <t xml:space="preserve">Aluminum, nonferrous, foundries</t>
  </si>
  <si>
    <t xml:space="preserve">Chemicals</t>
  </si>
  <si>
    <t xml:space="preserve">20</t>
  </si>
  <si>
    <t xml:space="preserve">Chemicals and chemical products</t>
  </si>
  <si>
    <t xml:space="preserve">HEURISTIC (Census ASM suppressed or unpulled)</t>
  </si>
  <si>
    <t xml:space="preserve">21</t>
  </si>
  <si>
    <t xml:space="preserve">Pharmaceuticals</t>
  </si>
  <si>
    <t xml:space="preserve">State-specific disaggregation ratios applied for LA.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</si>
  <si>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</si>
  <si>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</si>
  <si>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</si>
  <si>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</si>
  <si>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</si>
  <si>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</si>
  <si>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</si>
  <si>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</si>
  <si>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</si>
  <si>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</si>
  <si>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</si>
  <si>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</si>
  <si>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</si>
  <si>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</si>
  <si>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</si>
  <si>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</si>
  <si>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</si>
  <si>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</si>
  <si>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</si>
  <si>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</si>
  <si>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</si>
  <si>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</si>
  <si>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</si>
  <si>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</si>
  <si>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</si>
  <si>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</si>
  <si>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</si>
  <si>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</si>
  <si>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</si>
  <si>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</si>
  <si>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</si>
  <si>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</si>
  <si>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</si>
  <si>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</si>
  <si>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</si>
  <si>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</si>
  <si>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</si>
  <si>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</si>
  <si>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</si>
  <si>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</si>
  <si>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</si>
  <si>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</si>
  <si>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</si>
  <si>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</si>
  <si>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</si>
  <si>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</si>
  <si>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</si>
  <si>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</si>
  <si>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</si>
  <si>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</si>
  <si>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</si>
  <si>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</si>
  <si>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</si>
  <si>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</si>
  <si>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</si>
  <si>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</si>
  <si>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</si>
  <si>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</si>
  <si>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</si>
  <si>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</si>
  <si>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</si>
  <si>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</si>
  <si>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</si>
  <si>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</si>
  <si>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</si>
  <si>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</si>
  <si>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</si>
  <si>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</si>
  <si>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</si>
  <si>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</si>
  <si>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</si>
  <si>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</si>
  <si>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</si>
  <si>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</si>
  <si>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</si>
  <si>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</si>
  <si>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</si>
  <si>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</si>
  <si>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</si>
  <si>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97T98</t>
  </si>
  <si>
    <t xml:space="preserve">Households as employers; undifferentiated production (zero in EPS)</t>
  </si>
  <si>
    <t xml:space="preserve">Designed zero row: households as employers (NAICS 814)</t>
  </si>
  <si>
    <t xml:space="preserve">STEP 1 - read BEA code / ISIC code / weight live from the Crosswalk tab, pull each BEA value from the source tab, then weight it</t>
  </si>
  <si>
    <t xml:space="preserve">BEA_value_nominal</t>
  </si>
  <si>
    <t xml:space="preserve">weighted_nominal</t>
  </si>
  <si>
    <t xml:space="preserve">STEP 2 - aggregate weighted values to 42 ISIC, then deflate to 2012 USD (Keys!$C$2)</t>
  </si>
  <si>
    <t xml:space="preserve">aggregated_nominal</t>
  </si>
  <si>
    <t xml:space="preserve">value_2012USD</t>
  </si>
  <si>
    <t xml:space="preserve">Unit: USD</t>
  </si>
  <si>
    <t xml:space="preserve">Compensation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</si>
</sst>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1</v>
      </c>
    </row>
    <row r="13">
      <c r="A13" t="s">
        <v>9</v>
      </c>
    </row>
    <row r="14">
      <c r="A14" t="s">
        <v>1</v>
      </c>
    </row>
    <row r="15">
      <c r="A15" t="s">
        <v>10</v>
      </c>
    </row>
    <row r="16">
      <c r="A16" t="s">
        <v>11</v>
      </c>
    </row>
    <row r="17">
      <c r="A17" t="s">
        <v>12</v>
      </c>
    </row>
    <row r="18">
      <c r="A18" t="s">
        <v>13</v>
      </c>
    </row>
    <row r="19">
      <c r="A19" t="s">
        <v>14</v>
      </c>
    </row>
    <row r="20">
      <c r="A20" t="s">
        <v>15</v>
      </c>
    </row>
    <row r="21">
      <c r="A21" t="s">
        <v>16</v>
      </c>
    </row>
    <row r="22">
      <c r="A22" t="s">
        <v>17</v>
      </c>
    </row>
    <row r="23">
      <c r="A23" t="s">
        <v>1</v>
      </c>
    </row>
    <row r="24">
      <c r="A24" t="s">
        <v>18</v>
      </c>
    </row>
    <row r="25">
      <c r="A25" t="s">
        <v>19</v>
      </c>
    </row>
    <row r="26">
      <c r="A26" t="s">
        <v>20</v>
      </c>
    </row>
    <row r="27">
      <c r="A27" t="s">
        <v>21</v>
      </c>
    </row>
    <row r="28">
      <c r="A28" t="s">
        <v>22</v>
      </c>
    </row>
    <row r="29">
      <c r="A29" t="s">
        <v>23</v>
      </c>
    </row>
    <row r="30">
      <c r="A30" t="s">
        <v>1</v>
      </c>
    </row>
    <row r="31">
      <c r="A31" t="s">
        <v>24</v>
      </c>
    </row>
    <row r="32">
      <c r="A32" t="s">
        <v>25</v>
      </c>
    </row>
    <row r="33">
      <c r="A33" t="s">
        <v>26</v>
      </c>
    </row>
    <row r="34">
      <c r="A34" t="s">
        <v>1</v>
      </c>
    </row>
    <row r="35">
      <c r="A35" t="s">
        <v>27</v>
      </c>
    </row>
    <row r="36">
      <c r="A36" t="s">
        <v>28</v>
      </c>
    </row>
    <row r="37">
      <c r="A37" t="s">
        <v>29</v>
      </c>
    </row>
    <row r="38">
      <c r="A38" t="s">
        <v>30</v>
      </c>
    </row>
    <row r="39">
      <c r="A39" t="s">
        <v>31</v>
      </c>
    </row>
    <row r="40">
      <c r="A40" t="s">
        <v>32</v>
      </c>
    </row>
    <row r="41">
      <c r="A41" t="s">
        <v>33</v>
      </c>
    </row>
    <row r="42">
      <c r="A42" t="s">
        <v>34</v>
      </c>
    </row>
    <row r="43">
      <c r="A43" t="s">
        <v>35</v>
      </c>
    </row>
    <row r="44">
      <c r="A44" t="s">
        <v>36</v>
      </c>
    </row>
    <row r="45">
      <c r="A45" t="s">
        <v>37</v>
      </c>
    </row>
    <row r="46">
      <c r="A46" t="s">
        <v>38</v>
      </c>
    </row>
    <row r="47">
      <c r="A47" t="s">
        <v>1</v>
      </c>
    </row>
    <row r="48">
      <c r="A48" t="s">
        <v>39</v>
      </c>
    </row>
    <row r="49">
      <c r="A49" t="s">
        <v>40</v>
      </c>
    </row>
    <row r="50">
      <c r="A50" t="s">
        <v>41</v>
      </c>
    </row>
    <row r="51">
      <c r="A51" t="s">
        <v>42</v>
      </c>
    </row>
    <row r="52">
      <c r="A52" t="s">
        <v>43</v>
      </c>
    </row>
    <row r="53">
      <c r="A53" t="s">
        <v>1</v>
      </c>
    </row>
    <row r="54">
      <c r="A54" t="s">
        <v>44</v>
      </c>
    </row>
    <row r="55">
      <c r="A55" t="s">
        <v>45</v>
      </c>
    </row>
    <row r="56">
      <c r="A56" t="s">
        <v>1</v>
      </c>
    </row>
    <row r="57">
      <c r="A57" t="s">
        <v>4</v>
      </c>
    </row>
    <row r="58">
      <c r="A58" t="s">
        <v>46</v>
      </c>
    </row>
    <row r="59">
      <c r="A59" t="s">
        <v>4</v>
      </c>
    </row>
    <row r="60">
      <c r="A60" t="s">
        <v>47</v>
      </c>
    </row>
    <row r="61">
      <c r="A61" t="s">
        <v>48</v>
      </c>
    </row>
    <row r="62">
      <c r="A62" t="s">
        <v>1</v>
      </c>
    </row>
    <row r="63">
      <c r="A63" t="s">
        <v>49</v>
      </c>
    </row>
    <row r="64">
      <c r="A64" t="s">
        <v>50</v>
      </c>
    </row>
    <row r="65">
      <c r="A65" t="s">
        <v>51</v>
      </c>
    </row>
    <row r="66">
      <c r="A66" t="s">
        <v>52</v>
      </c>
    </row>
    <row r="67">
      <c r="A67" t="s">
        <v>53</v>
      </c>
    </row>
    <row r="68">
      <c r="A68" t="s">
        <v>54</v>
      </c>
    </row>
    <row r="69">
      <c r="A69" t="s">
        <v>55</v>
      </c>
    </row>
    <row r="70">
      <c r="A70" t="s">
        <v>56</v>
      </c>
    </row>
    <row r="71">
      <c r="A71" t="s">
        <v>57</v>
      </c>
    </row>
    <row r="72">
      <c r="A72" t="s">
        <v>58</v>
      </c>
    </row>
    <row r="73">
      <c r="A73" t="s">
        <v>59</v>
      </c>
    </row>
    <row r="74">
      <c r="A74" t="s">
        <v>1</v>
      </c>
    </row>
    <row r="75">
      <c r="A75" t="s">
        <v>60</v>
      </c>
    </row>
    <row r="76">
      <c r="A76" t="s">
        <v>61</v>
      </c>
    </row>
    <row r="77">
      <c r="A77" t="s">
        <v>1</v>
      </c>
    </row>
    <row r="78">
      <c r="A78" t="s">
        <v>4</v>
      </c>
    </row>
    <row r="79">
      <c r="A79" t="s">
        <v>62</v>
      </c>
    </row>
    <row r="80">
      <c r="A80" t="s">
        <v>4</v>
      </c>
    </row>
    <row r="81">
      <c r="A81" t="s">
        <v>63</v>
      </c>
    </row>
    <row r="82">
      <c r="A82" t="s">
        <v>64</v>
      </c>
    </row>
    <row r="83">
      <c r="A83" t="s">
        <v>65</v>
      </c>
    </row>
    <row r="84">
      <c r="A84" t="s">
        <v>1</v>
      </c>
    </row>
    <row r="85">
      <c r="A85" t="s">
        <v>66</v>
      </c>
    </row>
    <row r="86">
      <c r="A86" t="s">
        <v>67</v>
      </c>
    </row>
    <row r="87">
      <c r="A87" t="s">
        <v>68</v>
      </c>
    </row>
    <row r="88">
      <c r="A88" t="s">
        <v>1</v>
      </c>
    </row>
    <row r="89">
      <c r="A89" t="s">
        <v>69</v>
      </c>
    </row>
    <row r="90">
      <c r="A90" t="s">
        <v>70</v>
      </c>
    </row>
    <row r="91">
      <c r="A91" t="s">
        <v>71</v>
      </c>
    </row>
    <row r="92">
      <c r="A92" t="s">
        <v>1</v>
      </c>
    </row>
    <row r="93">
      <c r="A93" t="s">
        <v>72</v>
      </c>
    </row>
    <row r="94">
      <c r="A94" t="s">
        <v>73</v>
      </c>
    </row>
    <row r="95">
      <c r="A95" t="s">
        <v>74</v>
      </c>
    </row>
    <row r="96">
      <c r="A96" t="s">
        <v>1</v>
      </c>
    </row>
    <row r="97">
      <c r="A97" t="s">
        <v>75</v>
      </c>
    </row>
    <row r="98">
      <c r="A98" t="s">
        <v>76</v>
      </c>
    </row>
    <row r="99">
      <c r="A99" t="s">
        <v>77</v>
      </c>
    </row>
    <row r="100">
      <c r="A100" t="s">
        <v>1</v>
      </c>
    </row>
    <row r="101">
      <c r="A101" t="s">
        <v>78</v>
      </c>
    </row>
    <row r="102">
      <c r="A102" t="s">
        <v>79</v>
      </c>
    </row>
    <row r="103">
      <c r="A103" t="s">
        <v>80</v>
      </c>
    </row>
    <row r="104">
      <c r="A104" t="s">
        <v>1</v>
      </c>
    </row>
    <row r="105">
      <c r="A105" t="s">
        <v>81</v>
      </c>
    </row>
    <row r="106">
      <c r="A106" t="s">
        <v>82</v>
      </c>
    </row>
    <row r="107">
      <c r="A107" t="s">
        <v>83</v>
      </c>
    </row>
    <row r="108">
      <c r="A108" t="s">
        <v>1</v>
      </c>
    </row>
    <row r="109">
      <c r="A109" t="s">
        <v>84</v>
      </c>
    </row>
    <row r="110">
      <c r="A110" t="s">
        <v>85</v>
      </c>
    </row>
    <row r="111">
      <c r="A111" t="s">
        <v>86</v>
      </c>
    </row>
    <row r="112">
      <c r="A112" t="s">
        <v>1</v>
      </c>
    </row>
    <row r="113">
      <c r="A113" t="s">
        <v>87</v>
      </c>
    </row>
    <row r="114">
      <c r="A114" t="s">
        <v>88</v>
      </c>
    </row>
    <row r="115">
      <c r="A115" t="s">
        <v>89</v>
      </c>
    </row>
    <row r="116">
      <c r="A116" t="s">
        <v>1</v>
      </c>
    </row>
    <row r="117">
      <c r="A117" t="s">
        <v>90</v>
      </c>
    </row>
    <row r="118">
      <c r="A118" t="s">
        <v>91</v>
      </c>
    </row>
    <row r="119">
      <c r="A119" t="s">
        <v>92</v>
      </c>
    </row>
    <row r="120">
      <c r="A120" t="s">
        <v>1</v>
      </c>
    </row>
    <row r="121">
      <c r="A121" t="s">
        <v>93</v>
      </c>
    </row>
    <row r="122">
      <c r="A122" t="s">
        <v>94</v>
      </c>
    </row>
    <row r="123">
      <c r="A123" t="s">
        <v>95</v>
      </c>
    </row>
    <row r="124">
      <c r="A124" t="s">
        <v>1</v>
      </c>
    </row>
    <row r="125">
      <c r="A125" t="s">
        <v>4</v>
      </c>
    </row>
    <row r="126">
      <c r="A126" t="s">
        <v>96</v>
      </c>
    </row>
    <row r="127">
      <c r="A127" t="s">
        <v>4</v>
      </c>
    </row>
    <row r="128">
      <c r="A128" t="s">
        <v>97</v>
      </c>
    </row>
    <row r="129">
      <c r="A129" t="s">
        <v>98</v>
      </c>
    </row>
    <row r="130">
      <c r="A130" t="s">
        <v>99</v>
      </c>
    </row>
    <row r="131">
      <c r="A131" t="s">
        <v>100</v>
      </c>
    </row>
    <row r="132">
      <c r="A132" t="s">
        <v>101</v>
      </c>
    </row>
    <row r="133">
      <c r="A133" t="s">
        <v>102</v>
      </c>
    </row>
    <row r="134">
      <c r="A134" t="s">
        <v>103</v>
      </c>
    </row>
    <row r="135">
      <c r="A135" t="s">
        <v>104</v>
      </c>
    </row>
    <row r="136">
      <c r="A136" t="s">
        <v>105</v>
      </c>
    </row>
    <row r="137">
      <c r="A137" t="s">
        <v>106</v>
      </c>
    </row>
    <row r="138">
      <c r="A138" t="s">
        <v>107</v>
      </c>
    </row>
    <row r="139">
      <c r="A139" t="s">
        <v>108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26.71" hidden="0" customWidth="1"/>
    <col min="3" max="3" width="14.71" hidden="0" customWidth="1"/>
    <col min="4" max="4" width="82.71" hidden="0" customWidth="1"/>
  </cols>
  <sheetData>
    <row r="1">
      <c r="A1" t="s">
        <v>109</v>
      </c>
      <c r="B1" t="s">
        <v>110</v>
      </c>
      <c r="C1" t="s">
        <v>111</v>
      </c>
      <c r="D1" t="s">
        <v>112</v>
      </c>
    </row>
    <row r="2">
      <c r="A2" t="s">
        <v>113</v>
      </c>
      <c r="B2" t="s">
        <v>114</v>
      </c>
      <c r="C2" t="n">
        <v>1.12266</v>
      </c>
      <c r="D2" t="s">
        <v>115</v>
      </c>
    </row>
    <row r="3">
      <c r="A3" t="s">
        <v>116</v>
      </c>
      <c r="B3" t="s">
        <v>117</v>
      </c>
      <c r="C3" t="n">
        <v>2019</v>
      </c>
      <c r="D3" t="s">
        <v>118</v>
      </c>
    </row>
    <row r="4">
      <c r="A4" t="s">
        <v>119</v>
      </c>
      <c r="B4" t="s">
        <v>120</v>
      </c>
      <c r="C4" t="n">
        <v>0.000000001</v>
      </c>
      <c r="D4" t="s">
        <v>121</v>
      </c>
    </row>
    <row r="5">
      <c r="A5" t="s">
        <v>119</v>
      </c>
      <c r="B5" t="s">
        <v>122</v>
      </c>
      <c r="C5" t="n">
        <v>1</v>
      </c>
      <c r="D5" t="s">
        <v>123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124</v>
      </c>
      <c r="B1" t="s">
        <v>125</v>
      </c>
    </row>
    <row r="2">
      <c r="A2" t="s">
        <v>126</v>
      </c>
      <c r="B2" t="n">
        <v>233838912.990296</v>
      </c>
    </row>
    <row r="3">
      <c r="A3" t="s">
        <v>127</v>
      </c>
      <c r="B3" t="n">
        <v>381328171.215582</v>
      </c>
    </row>
    <row r="4">
      <c r="A4" t="s">
        <v>128</v>
      </c>
      <c r="B4" t="n">
        <v>975615659.108534</v>
      </c>
    </row>
    <row r="5">
      <c r="A5" t="s">
        <v>129</v>
      </c>
      <c r="B5" t="n">
        <v>119273426.902788</v>
      </c>
    </row>
    <row r="6">
      <c r="A6" t="s">
        <v>130</v>
      </c>
      <c r="B6" t="n">
        <v>2341317193.71359</v>
      </c>
    </row>
    <row r="7">
      <c r="A7" t="s">
        <v>131</v>
      </c>
      <c r="B7" t="n">
        <v>1455108215.41876</v>
      </c>
    </row>
    <row r="8">
      <c r="A8" t="s">
        <v>132</v>
      </c>
      <c r="B8" t="n">
        <v>10189628940.6994</v>
      </c>
    </row>
    <row r="9">
      <c r="A9" t="s">
        <v>133</v>
      </c>
      <c r="B9" t="n">
        <v>467396485.9874</v>
      </c>
    </row>
    <row r="10">
      <c r="A10" t="s">
        <v>134</v>
      </c>
      <c r="B10" t="n">
        <v>334522840.779287</v>
      </c>
    </row>
    <row r="11">
      <c r="A11" t="s">
        <v>135</v>
      </c>
      <c r="B11" t="n">
        <v>274413633.937309</v>
      </c>
    </row>
    <row r="12">
      <c r="A12" t="s">
        <v>136</v>
      </c>
      <c r="B12" t="n">
        <v>1268269239.63496</v>
      </c>
    </row>
    <row r="13">
      <c r="A13" t="s">
        <v>137</v>
      </c>
      <c r="B13" t="n">
        <v>1122749378.145</v>
      </c>
    </row>
    <row r="14">
      <c r="A14" t="s">
        <v>138</v>
      </c>
      <c r="B14" t="n">
        <v>238738083.471652</v>
      </c>
    </row>
    <row r="15">
      <c r="A15" t="s">
        <v>139</v>
      </c>
      <c r="B15" t="n">
        <v>81077740.045279</v>
      </c>
    </row>
    <row r="16">
      <c r="A16" t="s">
        <v>140</v>
      </c>
      <c r="B16" t="n">
        <v>40165170.7829743</v>
      </c>
    </row>
    <row r="17">
      <c r="A17" t="s">
        <v>141</v>
      </c>
      <c r="B17" t="n">
        <v>501297052.447236</v>
      </c>
    </row>
    <row r="18">
      <c r="A18" t="s">
        <v>142</v>
      </c>
      <c r="B18" t="n">
        <v>37072742.2327541</v>
      </c>
    </row>
    <row r="19">
      <c r="A19" t="s">
        <v>143</v>
      </c>
      <c r="B19" t="n">
        <v>224227218.222796</v>
      </c>
    </row>
    <row r="20">
      <c r="A20" t="s">
        <v>144</v>
      </c>
      <c r="B20" t="n">
        <v>881470954.99419</v>
      </c>
    </row>
    <row r="21">
      <c r="A21" t="s">
        <v>145</v>
      </c>
      <c r="B21" t="n">
        <v>61516392.8528601</v>
      </c>
    </row>
    <row r="22">
      <c r="A22" t="s">
        <v>146</v>
      </c>
      <c r="B22" t="n">
        <v>15416737.7066223</v>
      </c>
    </row>
    <row r="23">
      <c r="A23" t="s">
        <v>147</v>
      </c>
      <c r="B23" t="n">
        <v>1041200242.3624</v>
      </c>
    </row>
    <row r="24">
      <c r="A24" t="s">
        <v>148</v>
      </c>
      <c r="B24" t="n">
        <v>125969254.673347</v>
      </c>
    </row>
    <row r="25">
      <c r="A25" t="s">
        <v>149</v>
      </c>
      <c r="B25" t="n">
        <v>2481288049.94594</v>
      </c>
    </row>
    <row r="26">
      <c r="A26" t="s">
        <v>150</v>
      </c>
      <c r="B26" t="n">
        <v>5247865164.24609</v>
      </c>
    </row>
    <row r="27">
      <c r="A27" t="s">
        <v>151</v>
      </c>
      <c r="B27" t="n">
        <v>330915812.313534</v>
      </c>
    </row>
    <row r="28">
      <c r="A28" t="s">
        <v>152</v>
      </c>
      <c r="B28" t="n">
        <v>6014679025.78054</v>
      </c>
    </row>
    <row r="29">
      <c r="A29" t="s">
        <v>153</v>
      </c>
      <c r="B29" t="n">
        <v>1907445200.72624</v>
      </c>
    </row>
    <row r="30">
      <c r="A30" t="s">
        <v>154</v>
      </c>
      <c r="B30" t="n">
        <v>1450830278.8165</v>
      </c>
    </row>
    <row r="31">
      <c r="A31" t="s">
        <v>155</v>
      </c>
      <c r="B31" t="n">
        <v>1990031518.42337</v>
      </c>
    </row>
    <row r="32">
      <c r="A32" t="s">
        <v>156</v>
      </c>
      <c r="B32" t="n">
        <v>3591501478.54795</v>
      </c>
    </row>
    <row r="33">
      <c r="A33" t="s">
        <v>157</v>
      </c>
      <c r="B33" t="n">
        <v>282662065.473219</v>
      </c>
    </row>
    <row r="34">
      <c r="A34" t="s">
        <v>158</v>
      </c>
      <c r="B34" t="n">
        <v>350570157.623522</v>
      </c>
    </row>
    <row r="35">
      <c r="A35" t="s">
        <v>159</v>
      </c>
      <c r="B35" t="n">
        <v>666443572.395128</v>
      </c>
    </row>
    <row r="36">
      <c r="A36" t="s">
        <v>160</v>
      </c>
      <c r="B36" t="n">
        <v>1177476879.5907</v>
      </c>
    </row>
    <row r="37">
      <c r="A37" t="s">
        <v>161</v>
      </c>
      <c r="B37" t="n">
        <v>201479799.764429</v>
      </c>
    </row>
    <row r="38">
      <c r="A38" t="s">
        <v>162</v>
      </c>
      <c r="B38" t="n">
        <v>139842278.136164</v>
      </c>
    </row>
    <row r="39">
      <c r="A39" t="s">
        <v>163</v>
      </c>
      <c r="B39" t="n">
        <v>2012895148.35466</v>
      </c>
    </row>
    <row r="40">
      <c r="A40" t="s">
        <v>164</v>
      </c>
      <c r="B40" t="n">
        <v>709230175.82118</v>
      </c>
    </row>
    <row r="41">
      <c r="A41" t="s">
        <v>165</v>
      </c>
      <c r="B41" t="n">
        <v>199135606.188507</v>
      </c>
    </row>
    <row r="42">
      <c r="A42" t="s">
        <v>166</v>
      </c>
      <c r="B42" t="n">
        <v>414077768.366367</v>
      </c>
    </row>
    <row r="43">
      <c r="A43" t="s">
        <v>167</v>
      </c>
      <c r="B43" t="n">
        <v>714441989.038397</v>
      </c>
    </row>
    <row r="44">
      <c r="A44" t="s">
        <v>168</v>
      </c>
      <c r="B44" t="n">
        <v>252050927.662058</v>
      </c>
    </row>
    <row r="45">
      <c r="A45" t="s">
        <v>169</v>
      </c>
      <c r="B45" t="n">
        <v>1909522608.36197</v>
      </c>
    </row>
    <row r="46">
      <c r="A46" t="s">
        <v>170</v>
      </c>
      <c r="B46" t="n">
        <v>631590287.782676</v>
      </c>
    </row>
    <row r="47">
      <c r="A47" t="s">
        <v>171</v>
      </c>
      <c r="B47" t="n">
        <v>2782013897.43695</v>
      </c>
    </row>
    <row r="48">
      <c r="A48" t="s">
        <v>172</v>
      </c>
      <c r="B48" t="n">
        <v>23966723.6467236</v>
      </c>
    </row>
    <row r="49">
      <c r="A49" t="s">
        <v>173</v>
      </c>
      <c r="B49" t="n">
        <v>279636268.746534</v>
      </c>
    </row>
    <row r="50">
      <c r="A50" t="s">
        <v>174</v>
      </c>
      <c r="B50" t="n">
        <v>579246342.228686</v>
      </c>
    </row>
    <row r="51">
      <c r="A51" t="s">
        <v>175</v>
      </c>
      <c r="B51" t="n">
        <v>869036854.559947</v>
      </c>
    </row>
    <row r="52">
      <c r="A52" t="s">
        <v>176</v>
      </c>
      <c r="B52" t="n">
        <v>1869569485.18134</v>
      </c>
    </row>
    <row r="53">
      <c r="A53" t="s">
        <v>177</v>
      </c>
      <c r="B53" t="n">
        <v>988703424.306608</v>
      </c>
    </row>
    <row r="54">
      <c r="A54" t="s">
        <v>178</v>
      </c>
      <c r="B54" t="n">
        <v>5096109030.76696</v>
      </c>
    </row>
    <row r="55">
      <c r="A55" t="s">
        <v>179</v>
      </c>
      <c r="B55" t="n">
        <v>2294484063.64188</v>
      </c>
    </row>
    <row r="56">
      <c r="A56" t="s">
        <v>180</v>
      </c>
      <c r="B56" t="n">
        <v>4341571744.29448</v>
      </c>
    </row>
    <row r="57">
      <c r="A57" t="s">
        <v>181</v>
      </c>
      <c r="B57" t="n">
        <v>659222776.108763</v>
      </c>
    </row>
    <row r="58">
      <c r="A58" t="s">
        <v>182</v>
      </c>
      <c r="B58" t="n">
        <v>2233116520.33639</v>
      </c>
    </row>
    <row r="59">
      <c r="A59" t="s">
        <v>183</v>
      </c>
      <c r="B59" t="n">
        <v>7530450598.57119</v>
      </c>
    </row>
    <row r="60">
      <c r="A60" t="s">
        <v>184</v>
      </c>
      <c r="B60" t="n">
        <v>5544010409.31707</v>
      </c>
    </row>
    <row r="61">
      <c r="A61" t="s">
        <v>185</v>
      </c>
      <c r="B61" t="n">
        <v>1551705525.57248</v>
      </c>
    </row>
    <row r="62">
      <c r="A62" t="s">
        <v>186</v>
      </c>
      <c r="B62" t="n">
        <v>1345360583.78261</v>
      </c>
    </row>
    <row r="63">
      <c r="A63" t="s">
        <v>187</v>
      </c>
      <c r="B63" t="n">
        <v>678671793.265912</v>
      </c>
    </row>
    <row r="64">
      <c r="A64" t="s">
        <v>188</v>
      </c>
      <c r="B64" t="n">
        <v>721559172.730754</v>
      </c>
    </row>
    <row r="65">
      <c r="A65" t="s">
        <v>189</v>
      </c>
      <c r="B65" t="n">
        <v>1187538009.14498</v>
      </c>
    </row>
    <row r="66">
      <c r="A66" t="s">
        <v>190</v>
      </c>
      <c r="B66" t="n">
        <v>3952840330.9383</v>
      </c>
    </row>
    <row r="67">
      <c r="A67" t="s">
        <v>191</v>
      </c>
      <c r="B67" t="n">
        <v>3958097418.51238</v>
      </c>
    </row>
    <row r="68">
      <c r="A68" t="s">
        <v>192</v>
      </c>
      <c r="B68" t="n">
        <v>1991828099.55909</v>
      </c>
    </row>
    <row r="69">
      <c r="A69" t="s">
        <v>193</v>
      </c>
      <c r="B69" t="n">
        <v>1808215545.61313</v>
      </c>
    </row>
    <row r="70">
      <c r="A70" t="s">
        <v>194</v>
      </c>
      <c r="B70" t="n">
        <v>517909570.016073</v>
      </c>
    </row>
    <row r="71">
      <c r="A71" t="s">
        <v>195</v>
      </c>
      <c r="B71" t="n">
        <v>18951543996.2265</v>
      </c>
    </row>
    <row r="72">
      <c r="A72" t="s">
        <v>196</v>
      </c>
      <c r="B72" t="n">
        <v>907772927.082096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197</v>
      </c>
      <c r="B1" t="s">
        <v>126</v>
      </c>
      <c r="C1" t="s">
        <v>127</v>
      </c>
      <c r="D1" t="s">
        <v>128</v>
      </c>
      <c r="E1" t="s">
        <v>129</v>
      </c>
      <c r="F1" t="s">
        <v>130</v>
      </c>
      <c r="G1" t="s">
        <v>131</v>
      </c>
      <c r="H1" t="s">
        <v>132</v>
      </c>
      <c r="I1" t="s">
        <v>133</v>
      </c>
      <c r="J1" t="s">
        <v>134</v>
      </c>
      <c r="K1" t="s">
        <v>135</v>
      </c>
      <c r="L1" t="s">
        <v>136</v>
      </c>
      <c r="M1" t="s">
        <v>137</v>
      </c>
      <c r="N1" t="s">
        <v>138</v>
      </c>
      <c r="O1" t="s">
        <v>139</v>
      </c>
      <c r="P1" t="s">
        <v>140</v>
      </c>
      <c r="Q1" t="s">
        <v>141</v>
      </c>
      <c r="R1" t="s">
        <v>142</v>
      </c>
      <c r="S1" t="s">
        <v>143</v>
      </c>
      <c r="T1" t="s">
        <v>144</v>
      </c>
      <c r="U1" t="s">
        <v>145</v>
      </c>
      <c r="V1" t="s">
        <v>146</v>
      </c>
      <c r="W1" t="s">
        <v>147</v>
      </c>
      <c r="X1" t="s">
        <v>148</v>
      </c>
      <c r="Y1" t="s">
        <v>149</v>
      </c>
      <c r="Z1" t="s">
        <v>150</v>
      </c>
      <c r="AA1" t="s">
        <v>151</v>
      </c>
      <c r="AB1" t="s">
        <v>152</v>
      </c>
      <c r="AC1" t="s">
        <v>153</v>
      </c>
      <c r="AD1" t="s">
        <v>154</v>
      </c>
      <c r="AE1" t="s">
        <v>155</v>
      </c>
      <c r="AF1" t="s">
        <v>156</v>
      </c>
      <c r="AG1" t="s">
        <v>157</v>
      </c>
      <c r="AH1" t="s">
        <v>158</v>
      </c>
      <c r="AI1" t="s">
        <v>159</v>
      </c>
      <c r="AJ1" t="s">
        <v>160</v>
      </c>
      <c r="AK1" t="s">
        <v>161</v>
      </c>
      <c r="AL1" t="s">
        <v>162</v>
      </c>
      <c r="AM1" t="s">
        <v>163</v>
      </c>
      <c r="AN1" t="s">
        <v>164</v>
      </c>
      <c r="AO1" t="s">
        <v>165</v>
      </c>
      <c r="AP1" t="s">
        <v>166</v>
      </c>
      <c r="AQ1" t="s">
        <v>167</v>
      </c>
      <c r="AR1" t="s">
        <v>168</v>
      </c>
      <c r="AS1" t="s">
        <v>169</v>
      </c>
      <c r="AT1" t="s">
        <v>170</v>
      </c>
      <c r="AU1" t="s">
        <v>171</v>
      </c>
      <c r="AV1" t="s">
        <v>172</v>
      </c>
      <c r="AW1" t="s">
        <v>173</v>
      </c>
      <c r="AX1" t="s">
        <v>174</v>
      </c>
      <c r="AY1" t="s">
        <v>175</v>
      </c>
      <c r="AZ1" t="s">
        <v>176</v>
      </c>
      <c r="BA1" t="s">
        <v>177</v>
      </c>
      <c r="BB1" t="s">
        <v>178</v>
      </c>
      <c r="BC1" t="s">
        <v>179</v>
      </c>
      <c r="BD1" t="s">
        <v>180</v>
      </c>
      <c r="BE1" t="s">
        <v>181</v>
      </c>
      <c r="BF1" t="s">
        <v>182</v>
      </c>
      <c r="BG1" t="s">
        <v>183</v>
      </c>
      <c r="BH1" t="s">
        <v>184</v>
      </c>
      <c r="BI1" t="s">
        <v>185</v>
      </c>
      <c r="BJ1" t="s">
        <v>186</v>
      </c>
      <c r="BK1" t="s">
        <v>187</v>
      </c>
      <c r="BL1" t="s">
        <v>188</v>
      </c>
      <c r="BM1" t="s">
        <v>189</v>
      </c>
      <c r="BN1" t="s">
        <v>190</v>
      </c>
      <c r="BO1" t="s">
        <v>191</v>
      </c>
      <c r="BP1" t="s">
        <v>192</v>
      </c>
      <c r="BQ1" t="s">
        <v>193</v>
      </c>
      <c r="BR1" t="s">
        <v>194</v>
      </c>
      <c r="BS1" t="s">
        <v>195</v>
      </c>
      <c r="BT1" t="s">
        <v>196</v>
      </c>
    </row>
    <row r="2">
      <c r="A2" t="s">
        <v>198</v>
      </c>
      <c r="B2" t="n">
        <v>233838912.990296</v>
      </c>
      <c r="C2" t="n">
        <v>381328171.215582</v>
      </c>
      <c r="D2" t="n">
        <v>975615659.108534</v>
      </c>
      <c r="E2" t="n">
        <v>119273426.902788</v>
      </c>
      <c r="F2" t="n">
        <v>2341317193.71359</v>
      </c>
      <c r="G2" t="n">
        <v>1455108215.41876</v>
      </c>
      <c r="H2" t="n">
        <v>10189628940.6994</v>
      </c>
      <c r="I2" t="n">
        <v>467396485.9874</v>
      </c>
      <c r="J2" t="n">
        <v>334522840.779287</v>
      </c>
      <c r="K2" t="n">
        <v>274413633.937309</v>
      </c>
      <c r="L2" t="n">
        <v>1268269239.63496</v>
      </c>
      <c r="M2" t="n">
        <v>1122749378.145</v>
      </c>
      <c r="N2" t="n">
        <v>238738083.471652</v>
      </c>
      <c r="O2" t="n">
        <v>81077740.045279</v>
      </c>
      <c r="P2" t="n">
        <v>40165170.7829743</v>
      </c>
      <c r="Q2" t="n">
        <v>501297052.447236</v>
      </c>
      <c r="R2" t="n">
        <v>37072742.2327541</v>
      </c>
      <c r="S2" t="n">
        <v>224227218.222796</v>
      </c>
      <c r="T2" t="n">
        <v>881470954.99419</v>
      </c>
      <c r="U2" t="n">
        <v>61516392.8528601</v>
      </c>
      <c r="V2" t="n">
        <v>15416737.7066223</v>
      </c>
      <c r="W2" t="n">
        <v>1041200242.3624</v>
      </c>
      <c r="X2" t="n">
        <v>125969254.673347</v>
      </c>
      <c r="Y2" t="n">
        <v>2481288049.94594</v>
      </c>
      <c r="Z2" t="n">
        <v>5247865164.24609</v>
      </c>
      <c r="AA2" t="n">
        <v>330915812.313534</v>
      </c>
      <c r="AB2" t="n">
        <v>6014679025.78054</v>
      </c>
      <c r="AC2" t="n">
        <v>1907445200.72624</v>
      </c>
      <c r="AD2" t="n">
        <v>1450830278.8165</v>
      </c>
      <c r="AE2" t="n">
        <v>1990031518.42337</v>
      </c>
      <c r="AF2" t="n">
        <v>3591501478.54795</v>
      </c>
      <c r="AG2" t="n">
        <v>282662065.473219</v>
      </c>
      <c r="AH2" t="n">
        <v>350570157.623522</v>
      </c>
      <c r="AI2" t="n">
        <v>666443572.395128</v>
      </c>
      <c r="AJ2" t="n">
        <v>1177476879.5907</v>
      </c>
      <c r="AK2" t="n">
        <v>201479799.764429</v>
      </c>
      <c r="AL2" t="n">
        <v>139842278.136164</v>
      </c>
      <c r="AM2" t="n">
        <v>2012895148.35466</v>
      </c>
      <c r="AN2" t="n">
        <v>709230175.82118</v>
      </c>
      <c r="AO2" t="n">
        <v>199135606.188507</v>
      </c>
      <c r="AP2" t="n">
        <v>414077768.366367</v>
      </c>
      <c r="AQ2" t="n">
        <v>714441989.038397</v>
      </c>
      <c r="AR2" t="n">
        <v>252050927.662058</v>
      </c>
      <c r="AS2" t="n">
        <v>1909522608.36197</v>
      </c>
      <c r="AT2" t="n">
        <v>631590287.782676</v>
      </c>
      <c r="AU2" t="n">
        <v>2782013897.43695</v>
      </c>
      <c r="AV2" t="n">
        <v>23966723.6467236</v>
      </c>
      <c r="AW2" t="n">
        <v>279636268.746534</v>
      </c>
      <c r="AX2" t="n">
        <v>579246342.228686</v>
      </c>
      <c r="AY2" t="n">
        <v>869036854.559947</v>
      </c>
      <c r="AZ2" t="n">
        <v>1869569485.18134</v>
      </c>
      <c r="BA2" t="n">
        <v>988703424.306608</v>
      </c>
      <c r="BB2" t="n">
        <v>5096109030.76696</v>
      </c>
      <c r="BC2" t="n">
        <v>2294484063.64188</v>
      </c>
      <c r="BD2" t="n">
        <v>4341571744.29448</v>
      </c>
      <c r="BE2" t="n">
        <v>659222776.108763</v>
      </c>
      <c r="BF2" t="n">
        <v>2233116520.33639</v>
      </c>
      <c r="BG2" t="n">
        <v>7530450598.57119</v>
      </c>
      <c r="BH2" t="n">
        <v>5544010409.31707</v>
      </c>
      <c r="BI2" t="n">
        <v>1551705525.57248</v>
      </c>
      <c r="BJ2" t="n">
        <v>1345360583.78261</v>
      </c>
      <c r="BK2" t="n">
        <v>678671793.265912</v>
      </c>
      <c r="BL2" t="n">
        <v>721559172.730754</v>
      </c>
      <c r="BM2" t="n">
        <v>1187538009.14498</v>
      </c>
      <c r="BN2" t="n">
        <v>3952840330.9383</v>
      </c>
      <c r="BO2" t="n">
        <v>3958097418.51238</v>
      </c>
      <c r="BP2" t="n">
        <v>1991828099.55909</v>
      </c>
      <c r="BQ2" t="n">
        <v>1808215545.61313</v>
      </c>
      <c r="BR2" t="n">
        <v>517909570.016073</v>
      </c>
      <c r="BS2" t="n">
        <v>18951543996.2265</v>
      </c>
      <c r="BT2" t="n">
        <v>907772927.082096</v>
      </c>
    </row>
    <row r="3">
      <c r="A3" t="s">
        <v>199</v>
      </c>
      <c r="B3" t="n">
        <v>-92614161.2982142</v>
      </c>
      <c r="C3" t="n">
        <v>26820358.3022725</v>
      </c>
      <c r="D3" t="n">
        <v>1142780868.54868</v>
      </c>
      <c r="E3" t="n">
        <v>36651697.4378297</v>
      </c>
      <c r="F3" t="n">
        <v>151492456.014205</v>
      </c>
      <c r="G3" t="n">
        <v>1101519384.43166</v>
      </c>
      <c r="H3" t="n">
        <v>193052924.417525</v>
      </c>
      <c r="I3" t="n">
        <v>16277395.1770584</v>
      </c>
      <c r="J3" t="n">
        <v>18036809.8743495</v>
      </c>
      <c r="K3" t="n">
        <v>22331025.1771893</v>
      </c>
      <c r="L3" t="n">
        <v>47377328.2361018</v>
      </c>
      <c r="M3" t="n">
        <v>44023770.8889855</v>
      </c>
      <c r="N3" t="n">
        <v>13522167.2287021</v>
      </c>
      <c r="O3" t="n">
        <v>2220465.44147024</v>
      </c>
      <c r="P3" t="n">
        <v>2035566.13396804</v>
      </c>
      <c r="Q3" t="n">
        <v>17867061.2035388</v>
      </c>
      <c r="R3" t="n">
        <v>758208.267509215</v>
      </c>
      <c r="S3" t="n">
        <v>7960867.37708146</v>
      </c>
      <c r="T3" t="n">
        <v>210536446.384908</v>
      </c>
      <c r="U3" t="n">
        <v>3131490.58640125</v>
      </c>
      <c r="V3" t="n">
        <v>633288.283605364</v>
      </c>
      <c r="W3" t="n">
        <v>63206103.7055935</v>
      </c>
      <c r="X3" t="n">
        <v>3939051.35864328</v>
      </c>
      <c r="Y3" t="n">
        <v>506890348.435702</v>
      </c>
      <c r="Z3" t="n">
        <v>917357752.025893</v>
      </c>
      <c r="AA3" t="n">
        <v>15949010.035259</v>
      </c>
      <c r="AB3" t="n">
        <v>3027079156.25636</v>
      </c>
      <c r="AC3" t="n">
        <v>793751032.871787</v>
      </c>
      <c r="AD3" t="n">
        <v>393407924.153357</v>
      </c>
      <c r="AE3" t="n">
        <v>897058279.75112</v>
      </c>
      <c r="AF3" t="n">
        <v>1450607406.08049</v>
      </c>
      <c r="AG3" t="n">
        <v>128356557.306897</v>
      </c>
      <c r="AH3" t="n">
        <v>1493149.43922401</v>
      </c>
      <c r="AI3" t="n">
        <v>103900463.947419</v>
      </c>
      <c r="AJ3" t="n">
        <v>53076377.0832278</v>
      </c>
      <c r="AK3" t="n">
        <v>14620406.360424</v>
      </c>
      <c r="AL3" t="n">
        <v>62917597.4710221</v>
      </c>
      <c r="AM3" t="n">
        <v>54302818.4955525</v>
      </c>
      <c r="AN3" t="n">
        <v>11158029.1672346</v>
      </c>
      <c r="AO3" t="n">
        <v>11075584.7076192</v>
      </c>
      <c r="AP3" t="n">
        <v>66412983.2288667</v>
      </c>
      <c r="AQ3" t="n">
        <v>277824899.066729</v>
      </c>
      <c r="AR3" t="n">
        <v>13106346.988655</v>
      </c>
      <c r="AS3" t="n">
        <v>137705925.638673</v>
      </c>
      <c r="AT3" t="n">
        <v>14988285.1306311</v>
      </c>
      <c r="AU3" t="n">
        <v>319760361.230731</v>
      </c>
      <c r="AV3" t="n">
        <v>6375384.61538462</v>
      </c>
      <c r="AW3" t="n">
        <v>3082045017.64399</v>
      </c>
      <c r="AX3" t="n">
        <v>170399598.688884</v>
      </c>
      <c r="AY3" t="n">
        <v>501391189.430951</v>
      </c>
      <c r="AZ3" t="n">
        <v>233585598.726137</v>
      </c>
      <c r="BA3" t="n">
        <v>25500563.5870972</v>
      </c>
      <c r="BB3" t="n">
        <v>126930093.718094</v>
      </c>
      <c r="BC3" t="n">
        <v>64344288.2080566</v>
      </c>
      <c r="BD3" t="n">
        <v>113855057.177914</v>
      </c>
      <c r="BE3" t="n">
        <v>79778675.0852895</v>
      </c>
      <c r="BF3" t="n">
        <v>107534758.5273</v>
      </c>
      <c r="BG3" t="n">
        <v>131091664.167036</v>
      </c>
      <c r="BH3" t="n">
        <v>207681394.436275</v>
      </c>
      <c r="BI3" t="n">
        <v>75666823.8676485</v>
      </c>
      <c r="BJ3" t="n">
        <v>24580166.639438</v>
      </c>
      <c r="BK3" t="n">
        <v>88048869.4674363</v>
      </c>
      <c r="BL3" t="n">
        <v>203822375.190204</v>
      </c>
      <c r="BM3" t="n">
        <v>434683281.92917</v>
      </c>
      <c r="BN3" t="n">
        <v>732686013.766315</v>
      </c>
      <c r="BO3" t="n">
        <v>309045572.798955</v>
      </c>
      <c r="BP3" t="n">
        <v>0</v>
      </c>
      <c r="BQ3" t="n">
        <v>0</v>
      </c>
      <c r="BR3" t="n">
        <v>-54653603.5320792</v>
      </c>
      <c r="BS3" t="n">
        <v>0</v>
      </c>
      <c r="BT3" t="n">
        <v>-166851903.091353</v>
      </c>
    </row>
    <row r="4">
      <c r="A4" t="s">
        <v>200</v>
      </c>
      <c r="B4" t="n">
        <v>860467079.833646</v>
      </c>
      <c r="C4" t="n">
        <v>167651470.482145</v>
      </c>
      <c r="D4" t="n">
        <v>3350171824.25316</v>
      </c>
      <c r="E4" t="n">
        <v>177368596.458176</v>
      </c>
      <c r="F4" t="n">
        <v>1889090350.27221</v>
      </c>
      <c r="G4" t="n">
        <v>2929988946.18753</v>
      </c>
      <c r="H4" t="n">
        <v>5843435161.95345</v>
      </c>
      <c r="I4" t="n">
        <v>214926118.835542</v>
      </c>
      <c r="J4" t="n">
        <v>310750872.572662</v>
      </c>
      <c r="K4" t="n">
        <v>246955340.885502</v>
      </c>
      <c r="L4" t="n">
        <v>568765300.197129</v>
      </c>
      <c r="M4" t="n">
        <v>606626850.966019</v>
      </c>
      <c r="N4" t="n">
        <v>142139749.299646</v>
      </c>
      <c r="O4" t="n">
        <v>44103915.301638</v>
      </c>
      <c r="P4" t="n">
        <v>38699263.0830577</v>
      </c>
      <c r="Q4" t="n">
        <v>429135886.349226</v>
      </c>
      <c r="R4" t="n">
        <v>12469049.4997367</v>
      </c>
      <c r="S4" t="n">
        <v>122411914.400123</v>
      </c>
      <c r="T4" t="n">
        <v>885392598.620902</v>
      </c>
      <c r="U4" t="n">
        <v>18252116.5607387</v>
      </c>
      <c r="V4" t="n">
        <v>3351990.85143986</v>
      </c>
      <c r="W4" t="n">
        <v>907793653.932011</v>
      </c>
      <c r="X4" t="n">
        <v>66391693.9680092</v>
      </c>
      <c r="Y4" t="n">
        <v>13985603196.9586</v>
      </c>
      <c r="Z4" t="n">
        <v>11674177083.728</v>
      </c>
      <c r="AA4" t="n">
        <v>207435177.651207</v>
      </c>
      <c r="AB4" t="n">
        <v>4923441817.9631</v>
      </c>
      <c r="AC4" t="n">
        <v>1120164561.04766</v>
      </c>
      <c r="AD4" t="n">
        <v>523365274.660112</v>
      </c>
      <c r="AE4" t="n">
        <v>405129735.35625</v>
      </c>
      <c r="AF4" t="n">
        <v>2639253605.21796</v>
      </c>
      <c r="AG4" t="n">
        <v>218881377.219884</v>
      </c>
      <c r="AH4" t="n">
        <v>351636692.937254</v>
      </c>
      <c r="AI4" t="n">
        <v>565555963.657452</v>
      </c>
      <c r="AJ4" t="n">
        <v>873846743.326073</v>
      </c>
      <c r="AK4" t="n">
        <v>135099793.875147</v>
      </c>
      <c r="AL4" t="n">
        <v>432440124.392814</v>
      </c>
      <c r="AM4" t="n">
        <v>760102033.149785</v>
      </c>
      <c r="AN4" t="n">
        <v>83011795.0115851</v>
      </c>
      <c r="AO4" t="n">
        <v>250188809.103873</v>
      </c>
      <c r="AP4" t="n">
        <v>454698686.543565</v>
      </c>
      <c r="AQ4" t="n">
        <v>2168139412.92225</v>
      </c>
      <c r="AR4" t="n">
        <v>278142725.349287</v>
      </c>
      <c r="AS4" t="n">
        <v>2831878058.58485</v>
      </c>
      <c r="AT4" t="n">
        <v>29823851.1987958</v>
      </c>
      <c r="AU4" t="n">
        <v>2780625741.33232</v>
      </c>
      <c r="AV4" t="n">
        <v>-15542108.2621083</v>
      </c>
      <c r="AW4" t="n">
        <v>20009558859.8093</v>
      </c>
      <c r="AX4" t="n">
        <v>2510784912.494</v>
      </c>
      <c r="AY4" t="n">
        <v>3790550641.98133</v>
      </c>
      <c r="AZ4" t="n">
        <v>1671631905.86646</v>
      </c>
      <c r="BA4" t="n">
        <v>196996012.106295</v>
      </c>
      <c r="BB4" t="n">
        <v>2179160875.51494</v>
      </c>
      <c r="BC4" t="n">
        <v>244871648.150066</v>
      </c>
      <c r="BD4" t="n">
        <v>1374673198.52761</v>
      </c>
      <c r="BE4" t="n">
        <v>394698548.805947</v>
      </c>
      <c r="BF4" t="n">
        <v>486338261.574151</v>
      </c>
      <c r="BG4" t="n">
        <v>2058657737.26177</v>
      </c>
      <c r="BH4" t="n">
        <v>1056108196.24666</v>
      </c>
      <c r="BI4" t="n">
        <v>106427650.559871</v>
      </c>
      <c r="BJ4" t="n">
        <v>130859249.577956</v>
      </c>
      <c r="BK4" t="n">
        <v>666179337.266652</v>
      </c>
      <c r="BL4" t="n">
        <v>259518452.079042</v>
      </c>
      <c r="BM4" t="n">
        <v>914778708.92585</v>
      </c>
      <c r="BN4" t="n">
        <v>1142161766.44593</v>
      </c>
      <c r="BO4" t="n">
        <v>1340457008.68866</v>
      </c>
      <c r="BP4" t="n">
        <v>1235311620.24288</v>
      </c>
      <c r="BQ4" t="n">
        <v>1144562950.9938</v>
      </c>
      <c r="BR4" t="n">
        <v>92483549.4006044</v>
      </c>
      <c r="BS4" t="n">
        <v>3020513848.6176</v>
      </c>
      <c r="BT4" t="n">
        <v>448859333.48613</v>
      </c>
    </row>
    <row r="5">
      <c r="A5" t="s">
        <v>198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</row>
    <row r="6">
      <c r="A6" t="s">
        <v>199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</row>
    <row r="7">
      <c r="A7" t="s">
        <v>200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xSplit="1" topLeftCell="B9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201</v>
      </c>
    </row>
    <row r="2">
      <c r="A2" t="s">
        <v>202</v>
      </c>
    </row>
    <row r="3">
      <c r="A3" t="s">
        <v>203</v>
      </c>
    </row>
    <row r="4">
      <c r="A4" t="s">
        <v>204</v>
      </c>
    </row>
    <row r="5">
      <c r="A5" t="s">
        <v>205</v>
      </c>
    </row>
    <row r="6">
      <c r="A6" t="s">
        <v>1</v>
      </c>
    </row>
    <row r="8">
      <c r="A8" t="s">
        <v>206</v>
      </c>
      <c r="B8" t="s">
        <v>126</v>
      </c>
      <c r="C8" t="s">
        <v>127</v>
      </c>
      <c r="D8" t="s">
        <v>128</v>
      </c>
      <c r="E8" t="s">
        <v>129</v>
      </c>
      <c r="F8" t="s">
        <v>130</v>
      </c>
      <c r="G8" t="s">
        <v>131</v>
      </c>
      <c r="H8" t="s">
        <v>132</v>
      </c>
      <c r="I8" t="s">
        <v>133</v>
      </c>
      <c r="J8" t="s">
        <v>134</v>
      </c>
      <c r="K8" t="s">
        <v>135</v>
      </c>
      <c r="L8" t="s">
        <v>136</v>
      </c>
      <c r="M8" t="s">
        <v>137</v>
      </c>
      <c r="N8" t="s">
        <v>138</v>
      </c>
      <c r="O8" t="s">
        <v>139</v>
      </c>
      <c r="P8" t="s">
        <v>140</v>
      </c>
      <c r="Q8" t="s">
        <v>141</v>
      </c>
      <c r="R8" t="s">
        <v>142</v>
      </c>
      <c r="S8" t="s">
        <v>143</v>
      </c>
      <c r="T8" t="s">
        <v>144</v>
      </c>
      <c r="U8" t="s">
        <v>145</v>
      </c>
      <c r="V8" t="s">
        <v>146</v>
      </c>
      <c r="W8" t="s">
        <v>147</v>
      </c>
      <c r="X8" t="s">
        <v>148</v>
      </c>
      <c r="Y8" t="s">
        <v>149</v>
      </c>
      <c r="Z8" t="s">
        <v>150</v>
      </c>
      <c r="AA8" t="s">
        <v>151</v>
      </c>
      <c r="AB8" t="s">
        <v>152</v>
      </c>
      <c r="AC8" t="s">
        <v>153</v>
      </c>
      <c r="AD8" t="s">
        <v>154</v>
      </c>
      <c r="AE8" t="s">
        <v>155</v>
      </c>
      <c r="AF8" t="s">
        <v>156</v>
      </c>
      <c r="AG8" t="s">
        <v>157</v>
      </c>
      <c r="AH8" t="s">
        <v>158</v>
      </c>
      <c r="AI8" t="s">
        <v>159</v>
      </c>
      <c r="AJ8" t="s">
        <v>160</v>
      </c>
      <c r="AK8" t="s">
        <v>161</v>
      </c>
      <c r="AL8" t="s">
        <v>162</v>
      </c>
      <c r="AM8" t="s">
        <v>163</v>
      </c>
      <c r="AN8" t="s">
        <v>164</v>
      </c>
      <c r="AO8" t="s">
        <v>165</v>
      </c>
      <c r="AP8" t="s">
        <v>166</v>
      </c>
      <c r="AQ8" t="s">
        <v>167</v>
      </c>
      <c r="AR8" t="s">
        <v>168</v>
      </c>
      <c r="AS8" t="s">
        <v>169</v>
      </c>
      <c r="AT8" t="s">
        <v>170</v>
      </c>
      <c r="AU8" t="s">
        <v>171</v>
      </c>
      <c r="AV8" t="s">
        <v>172</v>
      </c>
      <c r="AW8" t="s">
        <v>173</v>
      </c>
      <c r="AX8" t="s">
        <v>174</v>
      </c>
      <c r="AY8" t="s">
        <v>175</v>
      </c>
      <c r="AZ8" t="s">
        <v>176</v>
      </c>
      <c r="BA8" t="s">
        <v>177</v>
      </c>
      <c r="BB8" t="s">
        <v>178</v>
      </c>
      <c r="BC8" t="s">
        <v>179</v>
      </c>
      <c r="BD8" t="s">
        <v>180</v>
      </c>
      <c r="BE8" t="s">
        <v>181</v>
      </c>
      <c r="BF8" t="s">
        <v>182</v>
      </c>
      <c r="BG8" t="s">
        <v>183</v>
      </c>
      <c r="BH8" t="s">
        <v>184</v>
      </c>
      <c r="BI8" t="s">
        <v>185</v>
      </c>
      <c r="BJ8" t="s">
        <v>186</v>
      </c>
      <c r="BK8" t="s">
        <v>187</v>
      </c>
      <c r="BL8" t="s">
        <v>188</v>
      </c>
      <c r="BM8" t="s">
        <v>189</v>
      </c>
      <c r="BN8" t="s">
        <v>190</v>
      </c>
      <c r="BO8" t="s">
        <v>191</v>
      </c>
      <c r="BP8" t="s">
        <v>192</v>
      </c>
      <c r="BQ8" t="s">
        <v>193</v>
      </c>
      <c r="BR8" t="s">
        <v>194</v>
      </c>
      <c r="BS8" t="s">
        <v>195</v>
      </c>
      <c r="BT8" t="s">
        <v>196</v>
      </c>
      <c r="BU8" t="s">
        <v>207</v>
      </c>
      <c r="BV8" t="s">
        <v>208</v>
      </c>
    </row>
    <row r="9">
      <c r="A9" t="s">
        <v>126</v>
      </c>
      <c r="B9" t="n">
        <v>2968096228.77063</v>
      </c>
      <c r="C9" t="n">
        <v>186922961.627975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46470.9276431945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14759793.9852095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</row>
    <row r="10">
      <c r="A10" t="s">
        <v>127</v>
      </c>
      <c r="B10" t="n">
        <v>21692.5286751517</v>
      </c>
      <c r="C10" t="n">
        <v>705537352.29179</v>
      </c>
      <c r="D10" t="n">
        <v>0</v>
      </c>
      <c r="E10" t="n">
        <v>0</v>
      </c>
      <c r="F10" t="n">
        <v>0</v>
      </c>
      <c r="G10" t="n">
        <v>0</v>
      </c>
      <c r="H10" t="n">
        <v>507311.907733385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</row>
    <row r="11">
      <c r="A11" t="s">
        <v>128</v>
      </c>
      <c r="B11" t="n">
        <v>0</v>
      </c>
      <c r="C11" t="n">
        <v>0</v>
      </c>
      <c r="D11" t="n">
        <v>9722616007.86442</v>
      </c>
      <c r="E11" t="n">
        <v>874605.324391546</v>
      </c>
      <c r="F11" t="n">
        <v>113535776.645932</v>
      </c>
      <c r="G11" t="n">
        <v>0</v>
      </c>
      <c r="H11" t="n">
        <v>11543552.3441042</v>
      </c>
      <c r="I11" t="n">
        <v>0</v>
      </c>
      <c r="J11" t="n">
        <v>0</v>
      </c>
      <c r="K11" t="n">
        <v>0</v>
      </c>
      <c r="L11" t="n">
        <v>0</v>
      </c>
      <c r="M11" t="n">
        <v>957004.74600878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132417748.719332</v>
      </c>
      <c r="Z11" t="n">
        <v>896676.845656204</v>
      </c>
      <c r="AA11" t="n">
        <v>0</v>
      </c>
      <c r="AB11" t="n">
        <v>10790561.7962243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1119123.56657383</v>
      </c>
      <c r="BB11" t="n">
        <v>6203536.80730435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</row>
    <row r="12">
      <c r="A12" t="s">
        <v>129</v>
      </c>
      <c r="B12" t="n">
        <v>0</v>
      </c>
      <c r="C12" t="n">
        <v>0</v>
      </c>
      <c r="D12" t="n">
        <v>0</v>
      </c>
      <c r="E12" t="n">
        <v>610743636.810871</v>
      </c>
      <c r="F12" t="n">
        <v>17643132.9810946</v>
      </c>
      <c r="G12" t="n">
        <v>0</v>
      </c>
      <c r="H12" t="n">
        <v>32735319.6484474</v>
      </c>
      <c r="I12" t="n">
        <v>0</v>
      </c>
      <c r="J12" t="n">
        <v>847495.670277825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105477.960955864</v>
      </c>
      <c r="Z12" t="n">
        <v>2511742.92620867</v>
      </c>
      <c r="AA12" t="n">
        <v>0</v>
      </c>
      <c r="AB12" t="n">
        <v>1338425.69465642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8211.20058071422</v>
      </c>
      <c r="BB12" t="n">
        <v>270969.619163569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</row>
    <row r="13">
      <c r="A13" t="s">
        <v>130</v>
      </c>
      <c r="B13" t="n">
        <v>0</v>
      </c>
      <c r="C13" t="n">
        <v>0</v>
      </c>
      <c r="D13" t="n">
        <v>54593936.8702063</v>
      </c>
      <c r="E13" t="n">
        <v>0</v>
      </c>
      <c r="F13" t="n">
        <v>8054424855.75978</v>
      </c>
      <c r="G13" t="n">
        <v>0</v>
      </c>
      <c r="H13" t="n">
        <v>536097673.246632</v>
      </c>
      <c r="I13" t="n">
        <v>0</v>
      </c>
      <c r="J13" t="n">
        <v>0</v>
      </c>
      <c r="K13" t="n">
        <v>0</v>
      </c>
      <c r="L13" t="n">
        <v>20029404.8439616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1938088.58747928</v>
      </c>
      <c r="Z13" t="n">
        <v>0</v>
      </c>
      <c r="AA13" t="n">
        <v>0</v>
      </c>
      <c r="AB13" t="n">
        <v>29768946.9107752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3272017.87165848</v>
      </c>
      <c r="BB13" t="n">
        <v>20979408.7065161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</row>
    <row r="14">
      <c r="A14" t="s">
        <v>131</v>
      </c>
      <c r="B14" t="n">
        <v>0</v>
      </c>
      <c r="C14" t="n">
        <v>0</v>
      </c>
      <c r="D14" t="n">
        <v>3471623.88766332</v>
      </c>
      <c r="E14" t="n">
        <v>0</v>
      </c>
      <c r="F14" t="n">
        <v>0</v>
      </c>
      <c r="G14" t="n">
        <v>8351056471.62109</v>
      </c>
      <c r="H14" t="n">
        <v>45276044.8758835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24796781.6108694</v>
      </c>
      <c r="AC14" t="n">
        <v>0</v>
      </c>
      <c r="AD14" t="n">
        <v>0</v>
      </c>
      <c r="AE14" t="n">
        <v>0</v>
      </c>
      <c r="AF14" t="n">
        <v>14854909.8642833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48005510.4968265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6831935.16029956</v>
      </c>
      <c r="BB14" t="n">
        <v>2034692.55379382</v>
      </c>
      <c r="BC14" t="n">
        <v>0</v>
      </c>
      <c r="BD14" t="n">
        <v>0</v>
      </c>
      <c r="BE14" t="n">
        <v>29967.3793438119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73960247.219611</v>
      </c>
      <c r="BU14" t="n">
        <v>0</v>
      </c>
      <c r="BV14" t="n">
        <v>0</v>
      </c>
    </row>
    <row r="15">
      <c r="A15" t="s">
        <v>132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29487140011.2702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6146772.42147878</v>
      </c>
      <c r="BB15" t="n">
        <v>391622.619651003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</row>
    <row r="16">
      <c r="A16" t="s">
        <v>133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15640364.9381532</v>
      </c>
      <c r="I16" t="n">
        <v>2026934273.06749</v>
      </c>
      <c r="J16" t="n">
        <v>2713658.8672013</v>
      </c>
      <c r="K16" t="n">
        <v>0</v>
      </c>
      <c r="L16" t="n">
        <v>5023150.02521418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38629717.8832224</v>
      </c>
      <c r="S16" t="n">
        <v>0</v>
      </c>
      <c r="T16" t="n">
        <v>0</v>
      </c>
      <c r="U16" t="n">
        <v>0</v>
      </c>
      <c r="V16" t="n">
        <v>0</v>
      </c>
      <c r="W16" t="n">
        <v>116952.835115922</v>
      </c>
      <c r="X16" t="n">
        <v>0</v>
      </c>
      <c r="Y16" t="n">
        <v>0</v>
      </c>
      <c r="Z16" t="n">
        <v>201289.556931726</v>
      </c>
      <c r="AA16" t="n">
        <v>6240572.31777151</v>
      </c>
      <c r="AB16" t="n">
        <v>27370638.6417682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486000.040451089</v>
      </c>
      <c r="BB16" t="n">
        <v>2341636.55853707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6318000.52586416</v>
      </c>
      <c r="BV16" t="n">
        <v>0</v>
      </c>
    </row>
    <row r="17">
      <c r="A17" t="s">
        <v>134</v>
      </c>
      <c r="B17" t="n">
        <v>0</v>
      </c>
      <c r="C17" t="n">
        <v>0</v>
      </c>
      <c r="D17" t="n">
        <v>0</v>
      </c>
      <c r="E17" t="n">
        <v>5560898.30434911</v>
      </c>
      <c r="F17" t="n">
        <v>0</v>
      </c>
      <c r="G17" t="n">
        <v>0</v>
      </c>
      <c r="H17" t="n">
        <v>6564314.05052486</v>
      </c>
      <c r="I17" t="n">
        <v>78747.0963590456</v>
      </c>
      <c r="J17" t="n">
        <v>1384784570.6613</v>
      </c>
      <c r="K17" t="n">
        <v>5789.12588167565</v>
      </c>
      <c r="L17" t="n">
        <v>237322.894047936</v>
      </c>
      <c r="M17" t="n">
        <v>34130.8844051093</v>
      </c>
      <c r="N17" t="n">
        <v>0</v>
      </c>
      <c r="O17" t="n">
        <v>1342473.42789697</v>
      </c>
      <c r="P17" t="n">
        <v>333383.257570499</v>
      </c>
      <c r="Q17" t="n">
        <v>1079.98444342633</v>
      </c>
      <c r="R17" t="n">
        <v>2250329.97336652</v>
      </c>
      <c r="S17" t="n">
        <v>42765.6497804598</v>
      </c>
      <c r="T17" t="n">
        <v>0</v>
      </c>
      <c r="U17" t="n">
        <v>74981.7799014245</v>
      </c>
      <c r="V17" t="n">
        <v>109366.293052636</v>
      </c>
      <c r="W17" t="n">
        <v>82490.921851572</v>
      </c>
      <c r="X17" t="n">
        <v>0</v>
      </c>
      <c r="Y17" t="n">
        <v>193625.582692312</v>
      </c>
      <c r="Z17" t="n">
        <v>183686.643290992</v>
      </c>
      <c r="AA17" t="n">
        <v>3831092.48285642</v>
      </c>
      <c r="AB17" t="n">
        <v>9478760.53768736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285997.085188843</v>
      </c>
      <c r="BB17" t="n">
        <v>5890178.06400831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27237.8176370326</v>
      </c>
      <c r="BV17" t="n">
        <v>0</v>
      </c>
    </row>
    <row r="18">
      <c r="A18" t="s">
        <v>135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1525281.69187793</v>
      </c>
      <c r="I18" t="n">
        <v>0</v>
      </c>
      <c r="J18" t="n">
        <v>983651.387568229</v>
      </c>
      <c r="K18" t="n">
        <v>1869736546.22596</v>
      </c>
      <c r="L18" t="n">
        <v>10104255.2683338</v>
      </c>
      <c r="M18" t="n">
        <v>1160703.39750309</v>
      </c>
      <c r="N18" t="n">
        <v>5600.45021165293</v>
      </c>
      <c r="O18" t="n">
        <v>2805748.07307666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5685.84667654068</v>
      </c>
      <c r="V18" t="n">
        <v>0</v>
      </c>
      <c r="W18" t="n">
        <v>3435.64508751308</v>
      </c>
      <c r="X18" t="n">
        <v>0</v>
      </c>
      <c r="Y18" t="n">
        <v>2550340.33198255</v>
      </c>
      <c r="Z18" t="n">
        <v>583528.034754929</v>
      </c>
      <c r="AA18" t="n">
        <v>0</v>
      </c>
      <c r="AB18" t="n">
        <v>6039123.44670368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595231.879757242</v>
      </c>
      <c r="BB18" t="n">
        <v>2920356.41005897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3180770.35745276</v>
      </c>
      <c r="BV18" t="n">
        <v>0</v>
      </c>
    </row>
    <row r="19">
      <c r="A19" t="s">
        <v>136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28825170.5993119</v>
      </c>
      <c r="I19" t="n">
        <v>1678387.96600377</v>
      </c>
      <c r="J19" t="n">
        <v>3299234.04868637</v>
      </c>
      <c r="K19" t="n">
        <v>32590270.919999</v>
      </c>
      <c r="L19" t="n">
        <v>4215196513.0851</v>
      </c>
      <c r="M19" t="n">
        <v>24297022.7429963</v>
      </c>
      <c r="N19" t="n">
        <v>4750412.72420363</v>
      </c>
      <c r="O19" t="n">
        <v>3722926.35088219</v>
      </c>
      <c r="P19" t="n">
        <v>20839255.3736296</v>
      </c>
      <c r="Q19" t="n">
        <v>437650.608636093</v>
      </c>
      <c r="R19" t="n">
        <v>1968865.39015162</v>
      </c>
      <c r="S19" t="n">
        <v>1895138.09599214</v>
      </c>
      <c r="T19" t="n">
        <v>0</v>
      </c>
      <c r="U19" t="n">
        <v>543913.109847931</v>
      </c>
      <c r="V19" t="n">
        <v>0</v>
      </c>
      <c r="W19" t="n">
        <v>5800.3010176921</v>
      </c>
      <c r="X19" t="n">
        <v>739106.938443894</v>
      </c>
      <c r="Y19" t="n">
        <v>9997.85232641086</v>
      </c>
      <c r="Z19" t="n">
        <v>187482.263027031</v>
      </c>
      <c r="AA19" t="n">
        <v>21911971.9675904</v>
      </c>
      <c r="AB19" t="n">
        <v>40574797.0766332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3521627.1772915</v>
      </c>
      <c r="BB19" t="n">
        <v>31803336.7924535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4391164.75193137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37053169.8993417</v>
      </c>
      <c r="BV19" t="n">
        <v>0</v>
      </c>
    </row>
    <row r="20">
      <c r="A20" t="s">
        <v>137</v>
      </c>
      <c r="B20" t="n">
        <v>0</v>
      </c>
      <c r="C20" t="n">
        <v>0</v>
      </c>
      <c r="D20" t="n">
        <v>0</v>
      </c>
      <c r="E20" t="n">
        <v>0</v>
      </c>
      <c r="F20" t="n">
        <v>10171.9191286115</v>
      </c>
      <c r="G20" t="n">
        <v>0</v>
      </c>
      <c r="H20" t="n">
        <v>6693122.7866264</v>
      </c>
      <c r="I20" t="n">
        <v>0</v>
      </c>
      <c r="J20" t="n">
        <v>564619.194343245</v>
      </c>
      <c r="K20" t="n">
        <v>137596.276116479</v>
      </c>
      <c r="L20" t="n">
        <v>16306634.6285645</v>
      </c>
      <c r="M20" t="n">
        <v>4083156384.67775</v>
      </c>
      <c r="N20" t="n">
        <v>4593284.22960498</v>
      </c>
      <c r="O20" t="n">
        <v>19274818.8778573</v>
      </c>
      <c r="P20" t="n">
        <v>21606808.1578346</v>
      </c>
      <c r="Q20" t="n">
        <v>1244610.26119904</v>
      </c>
      <c r="R20" t="n">
        <v>273240.032904053</v>
      </c>
      <c r="S20" t="n">
        <v>631345.531107375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508787.585316935</v>
      </c>
      <c r="AA20" t="n">
        <v>447383.946702957</v>
      </c>
      <c r="AB20" t="n">
        <v>51500426.5481603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132234.94867195</v>
      </c>
      <c r="AZ20" t="n">
        <v>0</v>
      </c>
      <c r="BA20" t="n">
        <v>6357449.45538222</v>
      </c>
      <c r="BB20" t="n">
        <v>92493260.6364648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3153294.92986958</v>
      </c>
      <c r="BV20" t="n">
        <v>0</v>
      </c>
    </row>
    <row r="21">
      <c r="A21" t="s">
        <v>138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30339.2198621141</v>
      </c>
      <c r="I21" t="n">
        <v>0</v>
      </c>
      <c r="J21" t="n">
        <v>9435.24340322681</v>
      </c>
      <c r="K21" t="n">
        <v>24419.9987696278</v>
      </c>
      <c r="L21" t="n">
        <v>52154.7783288052</v>
      </c>
      <c r="M21" t="n">
        <v>207202.325109927</v>
      </c>
      <c r="N21" t="n">
        <v>511817288.960495</v>
      </c>
      <c r="O21" t="n">
        <v>230734.63732141</v>
      </c>
      <c r="P21" t="n">
        <v>7733.55788356756</v>
      </c>
      <c r="Q21" t="n">
        <v>149402.2584985</v>
      </c>
      <c r="R21" t="n">
        <v>0</v>
      </c>
      <c r="S21" t="n">
        <v>888210.416463732</v>
      </c>
      <c r="T21" t="n">
        <v>0</v>
      </c>
      <c r="U21" t="n">
        <v>2224.66153379473</v>
      </c>
      <c r="V21" t="n">
        <v>0</v>
      </c>
      <c r="W21" t="n">
        <v>189.542646243553</v>
      </c>
      <c r="X21" t="n">
        <v>532.267015124808</v>
      </c>
      <c r="Y21" t="n">
        <v>0</v>
      </c>
      <c r="Z21" t="n">
        <v>49606.521209229</v>
      </c>
      <c r="AA21" t="n">
        <v>186275.587794763</v>
      </c>
      <c r="AB21" t="n">
        <v>1347700.08229601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622752.407696025</v>
      </c>
      <c r="BB21" t="n">
        <v>28293717.7229894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</row>
    <row r="22">
      <c r="A22" t="s">
        <v>139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62206.7924520954</v>
      </c>
      <c r="I22" t="n">
        <v>0</v>
      </c>
      <c r="J22" t="n">
        <v>138544.860962451</v>
      </c>
      <c r="K22" t="n">
        <v>457229.748021304</v>
      </c>
      <c r="L22" t="n">
        <v>160562.940038343</v>
      </c>
      <c r="M22" t="n">
        <v>246541.819921299</v>
      </c>
      <c r="N22" t="n">
        <v>171093.339497646</v>
      </c>
      <c r="O22" t="n">
        <v>272508263.638955</v>
      </c>
      <c r="P22" t="n">
        <v>612723.513901672</v>
      </c>
      <c r="Q22" t="n">
        <v>0</v>
      </c>
      <c r="R22" t="n">
        <v>22159.2028308047</v>
      </c>
      <c r="S22" t="n">
        <v>10007.8074735611</v>
      </c>
      <c r="T22" t="n">
        <v>0</v>
      </c>
      <c r="U22" t="n">
        <v>0</v>
      </c>
      <c r="V22" t="n">
        <v>0</v>
      </c>
      <c r="W22" t="n">
        <v>21560.0452158622</v>
      </c>
      <c r="X22" t="n">
        <v>0</v>
      </c>
      <c r="Y22" t="n">
        <v>1447.3143674669</v>
      </c>
      <c r="Z22" t="n">
        <v>360.853655084871</v>
      </c>
      <c r="AA22" t="n">
        <v>317356.078006064</v>
      </c>
      <c r="AB22" t="n">
        <v>1863205.85585433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139403.173446864</v>
      </c>
      <c r="BB22" t="n">
        <v>2151005.95587366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t="s">
        <v>140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39944.9221359794</v>
      </c>
      <c r="I23" t="n">
        <v>0</v>
      </c>
      <c r="J23" t="n">
        <v>0</v>
      </c>
      <c r="K23" t="n">
        <v>3486.47698274835</v>
      </c>
      <c r="L23" t="n">
        <v>102679.88608827</v>
      </c>
      <c r="M23" t="n">
        <v>95219.6779200202</v>
      </c>
      <c r="N23" t="n">
        <v>3968.19557392153</v>
      </c>
      <c r="O23" t="n">
        <v>21917.1862575186</v>
      </c>
      <c r="P23" t="n">
        <v>323497957.823982</v>
      </c>
      <c r="Q23" t="n">
        <v>42282.6040803283</v>
      </c>
      <c r="R23" t="n">
        <v>0</v>
      </c>
      <c r="S23" t="n">
        <v>1422.60512999458</v>
      </c>
      <c r="T23" t="n">
        <v>0</v>
      </c>
      <c r="U23" t="n">
        <v>22512.8372533176</v>
      </c>
      <c r="V23" t="n">
        <v>0</v>
      </c>
      <c r="W23" t="n">
        <v>0</v>
      </c>
      <c r="X23" t="n">
        <v>0</v>
      </c>
      <c r="Y23" t="n">
        <v>0</v>
      </c>
      <c r="Z23" t="n">
        <v>343.115867550458</v>
      </c>
      <c r="AA23" t="n">
        <v>56161.5426427283</v>
      </c>
      <c r="AB23" t="n">
        <v>224356.108778213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20225.2770308756</v>
      </c>
      <c r="BB23" t="n">
        <v>1041240.60142883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26726.2589336571</v>
      </c>
      <c r="BV23" t="n">
        <v>0</v>
      </c>
    </row>
    <row r="24">
      <c r="A24" t="s">
        <v>141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4942995.11136281</v>
      </c>
      <c r="I24" t="n">
        <v>0</v>
      </c>
      <c r="J24" t="n">
        <v>0</v>
      </c>
      <c r="K24" t="n">
        <v>4362.10624807951</v>
      </c>
      <c r="L24" t="n">
        <v>1080180.24302611</v>
      </c>
      <c r="M24" t="n">
        <v>1737000.36506185</v>
      </c>
      <c r="N24" t="n">
        <v>4206689.81694178</v>
      </c>
      <c r="O24" t="n">
        <v>3609619.42302153</v>
      </c>
      <c r="P24" t="n">
        <v>28116517.0104146</v>
      </c>
      <c r="Q24" t="n">
        <v>1743395693.79963</v>
      </c>
      <c r="R24" t="n">
        <v>0</v>
      </c>
      <c r="S24" t="n">
        <v>67578.4332686198</v>
      </c>
      <c r="T24" t="n">
        <v>0</v>
      </c>
      <c r="U24" t="n">
        <v>0</v>
      </c>
      <c r="V24" t="n">
        <v>5446.11151597492</v>
      </c>
      <c r="W24" t="n">
        <v>0</v>
      </c>
      <c r="X24" t="n">
        <v>0</v>
      </c>
      <c r="Y24" t="n">
        <v>0</v>
      </c>
      <c r="Z24" t="n">
        <v>55398.1032280814</v>
      </c>
      <c r="AA24" t="n">
        <v>2155342.0688549</v>
      </c>
      <c r="AB24" t="n">
        <v>8038780.97695682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3261122.49561652</v>
      </c>
      <c r="BB24" t="n">
        <v>80353602.1909428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228050.524168988</v>
      </c>
      <c r="BV24" t="n">
        <v>0</v>
      </c>
    </row>
    <row r="25">
      <c r="A25" t="s">
        <v>142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115933.816816491</v>
      </c>
      <c r="I25" t="n">
        <v>66265.0984578269</v>
      </c>
      <c r="J25" t="n">
        <v>11855.2576506816</v>
      </c>
      <c r="K25" t="n">
        <v>5678.37427676535</v>
      </c>
      <c r="L25" t="n">
        <v>27306.2422603075</v>
      </c>
      <c r="M25" t="n">
        <v>12777.2895065323</v>
      </c>
      <c r="N25" t="n">
        <v>2726.11313245234</v>
      </c>
      <c r="O25" t="n">
        <v>14167.5945597678</v>
      </c>
      <c r="P25" t="n">
        <v>0</v>
      </c>
      <c r="Q25" t="n">
        <v>0</v>
      </c>
      <c r="R25" t="n">
        <v>122149365.078289</v>
      </c>
      <c r="S25" t="n">
        <v>44533.8388182788</v>
      </c>
      <c r="T25" t="n">
        <v>0</v>
      </c>
      <c r="U25" t="n">
        <v>10881.7649736291</v>
      </c>
      <c r="V25" t="n">
        <v>457.299589921133</v>
      </c>
      <c r="W25" t="n">
        <v>160.053595853143</v>
      </c>
      <c r="X25" t="n">
        <v>1974.54189225167</v>
      </c>
      <c r="Y25" t="n">
        <v>0</v>
      </c>
      <c r="Z25" t="n">
        <v>1294.5159057721</v>
      </c>
      <c r="AA25" t="n">
        <v>13791.1797711807</v>
      </c>
      <c r="AB25" t="n">
        <v>242304.497920597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16924.6447907286</v>
      </c>
      <c r="BB25" t="n">
        <v>76442.9789714573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t="s">
        <v>143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1706105.0177111</v>
      </c>
      <c r="I26" t="n">
        <v>139814.92641196</v>
      </c>
      <c r="J26" t="n">
        <v>126776.868562308</v>
      </c>
      <c r="K26" t="n">
        <v>17792.7594706308</v>
      </c>
      <c r="L26" t="n">
        <v>1895015.33279484</v>
      </c>
      <c r="M26" t="n">
        <v>382559.533223691</v>
      </c>
      <c r="N26" t="n">
        <v>2120608.41829377</v>
      </c>
      <c r="O26" t="n">
        <v>156219.201246959</v>
      </c>
      <c r="P26" t="n">
        <v>74562.6435181306</v>
      </c>
      <c r="Q26" t="n">
        <v>24464.1535065677</v>
      </c>
      <c r="R26" t="n">
        <v>2758975.85222484</v>
      </c>
      <c r="S26" t="n">
        <v>580612398.867313</v>
      </c>
      <c r="T26" t="n">
        <v>8405.76159863633</v>
      </c>
      <c r="U26" t="n">
        <v>86257.7904267867</v>
      </c>
      <c r="V26" t="n">
        <v>1437114.03326634</v>
      </c>
      <c r="W26" t="n">
        <v>68975.0163171166</v>
      </c>
      <c r="X26" t="n">
        <v>1065996.857105</v>
      </c>
      <c r="Y26" t="n">
        <v>378.772655838077</v>
      </c>
      <c r="Z26" t="n">
        <v>227912.018287373</v>
      </c>
      <c r="AA26" t="n">
        <v>4403492.40037979</v>
      </c>
      <c r="AB26" t="n">
        <v>14306799.9243039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897681.56387789</v>
      </c>
      <c r="BB26" t="n">
        <v>34647448.0876279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s">
        <v>144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651446.682703311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10932.6562926253</v>
      </c>
      <c r="T27" t="n">
        <v>7027948807.97442</v>
      </c>
      <c r="U27" t="n">
        <v>0</v>
      </c>
      <c r="V27" t="n">
        <v>1175282.15344765</v>
      </c>
      <c r="W27" t="n">
        <v>66725.4226389057</v>
      </c>
      <c r="X27" t="n">
        <v>0</v>
      </c>
      <c r="Y27" t="n">
        <v>18392.2569975373</v>
      </c>
      <c r="Z27" t="n">
        <v>3382844.24277767</v>
      </c>
      <c r="AA27" t="n">
        <v>0</v>
      </c>
      <c r="AB27" t="n">
        <v>43706150.1668221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507092.020058827</v>
      </c>
      <c r="BB27" t="n">
        <v>10674842.2324793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</row>
    <row r="28">
      <c r="A28" t="s">
        <v>145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149353.593793245</v>
      </c>
      <c r="I28" t="n">
        <v>0</v>
      </c>
      <c r="J28" t="n">
        <v>9070.25935113409</v>
      </c>
      <c r="K28" t="n">
        <v>0</v>
      </c>
      <c r="L28" t="n">
        <v>248407.939289897</v>
      </c>
      <c r="M28" t="n">
        <v>17424.1506058009</v>
      </c>
      <c r="N28" t="n">
        <v>82060.6008043086</v>
      </c>
      <c r="O28" t="n">
        <v>0</v>
      </c>
      <c r="P28" t="n">
        <v>6049836.17914888</v>
      </c>
      <c r="Q28" t="n">
        <v>0</v>
      </c>
      <c r="R28" t="n">
        <v>552760.196444025</v>
      </c>
      <c r="S28" t="n">
        <v>58596.6502558565</v>
      </c>
      <c r="T28" t="n">
        <v>0</v>
      </c>
      <c r="U28" t="n">
        <v>225657181.2325</v>
      </c>
      <c r="V28" t="n">
        <v>314198.133095681</v>
      </c>
      <c r="W28" t="n">
        <v>2501.43192945757</v>
      </c>
      <c r="X28" t="n">
        <v>529526.377994231</v>
      </c>
      <c r="Y28" t="n">
        <v>0</v>
      </c>
      <c r="Z28" t="n">
        <v>4655302.6278374</v>
      </c>
      <c r="AA28" t="n">
        <v>6911459.21090094</v>
      </c>
      <c r="AB28" t="n">
        <v>1768482.32650637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40732.7983072485</v>
      </c>
      <c r="BB28" t="n">
        <v>957220.76022034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s">
        <v>146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2862.30091653613</v>
      </c>
      <c r="I29" t="n">
        <v>0</v>
      </c>
      <c r="J29" t="n">
        <v>75595.4316349841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26695.8695376376</v>
      </c>
      <c r="T29" t="n">
        <v>1186503.62468391</v>
      </c>
      <c r="U29" t="n">
        <v>146225.142402783</v>
      </c>
      <c r="V29" t="n">
        <v>32462147.7713095</v>
      </c>
      <c r="W29" t="n">
        <v>0</v>
      </c>
      <c r="X29" t="n">
        <v>24329.5577905571</v>
      </c>
      <c r="Y29" t="n">
        <v>0</v>
      </c>
      <c r="Z29" t="n">
        <v>123472.716442153</v>
      </c>
      <c r="AA29" t="n">
        <v>12167.2364727432</v>
      </c>
      <c r="AB29" t="n">
        <v>536681.421850525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25760.7082488252</v>
      </c>
      <c r="BB29" t="n">
        <v>333458.05677646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s">
        <v>147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4326844.20996152</v>
      </c>
      <c r="I30" t="n">
        <v>11197174.5156345</v>
      </c>
      <c r="J30" t="n">
        <v>533837.76647234</v>
      </c>
      <c r="K30" t="n">
        <v>0</v>
      </c>
      <c r="L30" t="n">
        <v>0</v>
      </c>
      <c r="M30" t="n">
        <v>0</v>
      </c>
      <c r="N30" t="n">
        <v>2786363.72396803</v>
      </c>
      <c r="O30" t="n">
        <v>0</v>
      </c>
      <c r="P30" t="n">
        <v>0</v>
      </c>
      <c r="Q30" t="n">
        <v>0</v>
      </c>
      <c r="R30" t="n">
        <v>0</v>
      </c>
      <c r="S30" t="n">
        <v>324121.509390042</v>
      </c>
      <c r="T30" t="n">
        <v>0</v>
      </c>
      <c r="U30" t="n">
        <v>5331508.82498536</v>
      </c>
      <c r="V30" t="n">
        <v>0</v>
      </c>
      <c r="W30" t="n">
        <v>5922346406.85696</v>
      </c>
      <c r="X30" t="n">
        <v>9600185.59085213</v>
      </c>
      <c r="Y30" t="n">
        <v>0</v>
      </c>
      <c r="Z30" t="n">
        <v>421442.754584544</v>
      </c>
      <c r="AA30" t="n">
        <v>51533358.1699425</v>
      </c>
      <c r="AB30" t="n">
        <v>57510970.9574052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2478921.16195712</v>
      </c>
      <c r="BB30" t="n">
        <v>35921821.2014514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21994791.4006377</v>
      </c>
      <c r="BV30" t="n">
        <v>0</v>
      </c>
    </row>
    <row r="31">
      <c r="A31" t="s">
        <v>148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80268.8833462941</v>
      </c>
      <c r="I31" t="n">
        <v>54131.5625548756</v>
      </c>
      <c r="J31" t="n">
        <v>0</v>
      </c>
      <c r="K31" t="n">
        <v>0</v>
      </c>
      <c r="L31" t="n">
        <v>494663.869070462</v>
      </c>
      <c r="M31" t="n">
        <v>303069.579393971</v>
      </c>
      <c r="N31" t="n">
        <v>54668.0467929037</v>
      </c>
      <c r="O31" t="n">
        <v>128112.72509658</v>
      </c>
      <c r="P31" t="n">
        <v>0</v>
      </c>
      <c r="Q31" t="n">
        <v>0</v>
      </c>
      <c r="R31" t="n">
        <v>342863.888131479</v>
      </c>
      <c r="S31" t="n">
        <v>3510215.67347226</v>
      </c>
      <c r="T31" t="n">
        <v>0</v>
      </c>
      <c r="U31" t="n">
        <v>1229758.05331928</v>
      </c>
      <c r="V31" t="n">
        <v>28715.9424617553</v>
      </c>
      <c r="W31" t="n">
        <v>1460385.25687104</v>
      </c>
      <c r="X31" t="n">
        <v>287693121.311159</v>
      </c>
      <c r="Y31" t="n">
        <v>0</v>
      </c>
      <c r="Z31" t="n">
        <v>0</v>
      </c>
      <c r="AA31" t="n">
        <v>3802184.00324035</v>
      </c>
      <c r="AB31" t="n">
        <v>3267415.72209621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897122.813870345</v>
      </c>
      <c r="BB31" t="n">
        <v>78337708.4469626</v>
      </c>
      <c r="BC31" t="n">
        <v>0</v>
      </c>
      <c r="BD31" t="n">
        <v>1322075.72570367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750750.144238868</v>
      </c>
      <c r="BV31" t="n">
        <v>0</v>
      </c>
    </row>
    <row r="32">
      <c r="A32" t="s">
        <v>149</v>
      </c>
      <c r="B32" t="n">
        <v>0</v>
      </c>
      <c r="C32" t="n">
        <v>0</v>
      </c>
      <c r="D32" t="n">
        <v>252627.735696104</v>
      </c>
      <c r="E32" t="n">
        <v>9072221.91145931</v>
      </c>
      <c r="F32" t="n">
        <v>0</v>
      </c>
      <c r="G32" t="n">
        <v>0</v>
      </c>
      <c r="H32" t="n">
        <v>34293744.9321552</v>
      </c>
      <c r="I32" t="n">
        <v>0</v>
      </c>
      <c r="J32" t="n">
        <v>32729374.0961283</v>
      </c>
      <c r="K32" t="n">
        <v>11336480.5386413</v>
      </c>
      <c r="L32" t="n">
        <v>0</v>
      </c>
      <c r="M32" t="n">
        <v>0</v>
      </c>
      <c r="N32" t="n">
        <v>0</v>
      </c>
      <c r="O32" t="n">
        <v>1405120.97279047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66697513756.6942</v>
      </c>
      <c r="Z32" t="n">
        <v>2361011350.28186</v>
      </c>
      <c r="AA32" t="n">
        <v>0</v>
      </c>
      <c r="AB32" t="n">
        <v>1530066440.55723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5531249.18260568</v>
      </c>
      <c r="BB32" t="n">
        <v>86779153.8426579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s">
        <v>150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9253433.1311397</v>
      </c>
      <c r="I33" t="n">
        <v>93992.2412444854</v>
      </c>
      <c r="J33" t="n">
        <v>7360200.18825345</v>
      </c>
      <c r="K33" t="n">
        <v>202696.156591104</v>
      </c>
      <c r="L33" t="n">
        <v>2304526.73430896</v>
      </c>
      <c r="M33" t="n">
        <v>7551816.36109158</v>
      </c>
      <c r="N33" t="n">
        <v>83725278.2885766</v>
      </c>
      <c r="O33" t="n">
        <v>3274509.05821931</v>
      </c>
      <c r="P33" t="n">
        <v>112159.291419343</v>
      </c>
      <c r="Q33" t="n">
        <v>0</v>
      </c>
      <c r="R33" t="n">
        <v>0</v>
      </c>
      <c r="S33" t="n">
        <v>152787720.884974</v>
      </c>
      <c r="T33" t="n">
        <v>606750549.469026</v>
      </c>
      <c r="U33" t="n">
        <v>47998.0888705789</v>
      </c>
      <c r="V33" t="n">
        <v>6306757.67943349</v>
      </c>
      <c r="W33" t="n">
        <v>4253394.3151685</v>
      </c>
      <c r="X33" t="n">
        <v>0</v>
      </c>
      <c r="Y33" t="n">
        <v>138806361.434343</v>
      </c>
      <c r="Z33" t="n">
        <v>32831926004.4426</v>
      </c>
      <c r="AA33" t="n">
        <v>353205904.95528</v>
      </c>
      <c r="AB33" t="n">
        <v>687489343.258826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24501228.6050932</v>
      </c>
      <c r="BB33" t="n">
        <v>3433140087.03813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s">
        <v>151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192451.857787514</v>
      </c>
      <c r="I34" t="n">
        <v>208920.777257539</v>
      </c>
      <c r="J34" t="n">
        <v>66352.7032286548</v>
      </c>
      <c r="K34" t="n">
        <v>8361.26885576925</v>
      </c>
      <c r="L34" t="n">
        <v>671619.87099073</v>
      </c>
      <c r="M34" t="n">
        <v>386068.356437996</v>
      </c>
      <c r="N34" t="n">
        <v>232673.703246988</v>
      </c>
      <c r="O34" t="n">
        <v>758112.550882528</v>
      </c>
      <c r="P34" t="n">
        <v>4883284.9849502</v>
      </c>
      <c r="Q34" t="n">
        <v>24168.2938402402</v>
      </c>
      <c r="R34" t="n">
        <v>1036839.28264732</v>
      </c>
      <c r="S34" t="n">
        <v>1871170.96481873</v>
      </c>
      <c r="T34" t="n">
        <v>0</v>
      </c>
      <c r="U34" t="n">
        <v>701481.222893864</v>
      </c>
      <c r="V34" t="n">
        <v>0</v>
      </c>
      <c r="W34" t="n">
        <v>483568.490842116</v>
      </c>
      <c r="X34" t="n">
        <v>73101.8684619241</v>
      </c>
      <c r="Y34" t="n">
        <v>2633.36198354505</v>
      </c>
      <c r="Z34" t="n">
        <v>1146395.35748171</v>
      </c>
      <c r="AA34" t="n">
        <v>1617088416.37054</v>
      </c>
      <c r="AB34" t="n">
        <v>3109067.22193163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268537.475982578</v>
      </c>
      <c r="BB34" t="n">
        <v>2540662.8977685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307326.222513395</v>
      </c>
      <c r="BV34" t="n">
        <v>0</v>
      </c>
    </row>
    <row r="35">
      <c r="A35" t="s">
        <v>152</v>
      </c>
      <c r="B35" t="n">
        <v>0</v>
      </c>
      <c r="C35" t="n">
        <v>3497487.70774715</v>
      </c>
      <c r="D35" t="n">
        <v>0</v>
      </c>
      <c r="E35" t="n">
        <v>0</v>
      </c>
      <c r="F35" t="n">
        <v>0</v>
      </c>
      <c r="G35" t="n">
        <v>0</v>
      </c>
      <c r="H35" t="n">
        <v>67141375.8655713</v>
      </c>
      <c r="I35" t="n">
        <v>0</v>
      </c>
      <c r="J35" t="n">
        <v>0</v>
      </c>
      <c r="K35" t="n">
        <v>0</v>
      </c>
      <c r="L35" t="n">
        <v>0</v>
      </c>
      <c r="M35" t="n">
        <v>9207.87036834423</v>
      </c>
      <c r="N35" t="n">
        <v>0</v>
      </c>
      <c r="O35" t="n">
        <v>0</v>
      </c>
      <c r="P35" t="n">
        <v>1063895.68728128</v>
      </c>
      <c r="Q35" t="n">
        <v>0</v>
      </c>
      <c r="R35" t="n">
        <v>0</v>
      </c>
      <c r="S35" t="n">
        <v>46139.9670083587</v>
      </c>
      <c r="T35" t="n">
        <v>14824412.0892029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22863565728.2629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775205.109416474</v>
      </c>
      <c r="AM35" t="n">
        <v>6050906.54850081</v>
      </c>
      <c r="AN35" t="n">
        <v>3800658.38366688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138514079.620041</v>
      </c>
      <c r="AZ35" t="n">
        <v>0</v>
      </c>
      <c r="BA35" t="n">
        <v>77671245.2684783</v>
      </c>
      <c r="BB35" t="n">
        <v>9216327.41195141</v>
      </c>
      <c r="BC35" t="n">
        <v>0</v>
      </c>
      <c r="BD35" t="n">
        <v>279935.178400393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858130522.648775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s">
        <v>153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89042.1081634582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4605332035.97086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55191266.7099835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2730624.65034605</v>
      </c>
      <c r="AZ36" t="n">
        <v>0</v>
      </c>
      <c r="BA36" t="n">
        <v>1202068.46020669</v>
      </c>
      <c r="BB36" t="n">
        <v>59361.4054423054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1484035.13605764</v>
      </c>
      <c r="BM36" t="n">
        <v>0</v>
      </c>
      <c r="BN36" t="n">
        <v>0</v>
      </c>
      <c r="BO36" t="n">
        <v>843777857.30829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s">
        <v>154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137897388.409997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3401103273.3305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517273.811799835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69901.8664594372</v>
      </c>
      <c r="AZ37" t="n">
        <v>0</v>
      </c>
      <c r="BA37" t="n">
        <v>139803.732918874</v>
      </c>
      <c r="BB37" t="n">
        <v>13980.3732918874</v>
      </c>
      <c r="BC37" t="n">
        <v>0</v>
      </c>
      <c r="BD37" t="n">
        <v>27960.7465837749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13980.3732918874</v>
      </c>
      <c r="BM37" t="n">
        <v>0</v>
      </c>
      <c r="BN37" t="n">
        <v>157069493.934355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s">
        <v>155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34080917.4422661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51773037.9952283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4735253646.91654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20555.4387468432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171781801.607369</v>
      </c>
      <c r="BO38" t="n">
        <v>40309215.3825596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s">
        <v>156</v>
      </c>
      <c r="B39" t="n">
        <v>2281103.71865583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48521874.9226897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20009414.1553658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11736683944.9274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5598677.87569497</v>
      </c>
      <c r="AQ39" t="n">
        <v>0</v>
      </c>
      <c r="AR39" t="n">
        <v>0</v>
      </c>
      <c r="AS39" t="n">
        <v>3488065.18446075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13941152.2499944</v>
      </c>
      <c r="AZ39" t="n">
        <v>0</v>
      </c>
      <c r="BA39" t="n">
        <v>20106363.005968</v>
      </c>
      <c r="BB39" t="n">
        <v>85179884.8230735</v>
      </c>
      <c r="BC39" t="n">
        <v>0</v>
      </c>
      <c r="BD39" t="n">
        <v>1199716.68764892</v>
      </c>
      <c r="BE39" t="n">
        <v>0</v>
      </c>
      <c r="BF39" t="n">
        <v>1233042.15119473</v>
      </c>
      <c r="BG39" t="n">
        <v>55542.4392430056</v>
      </c>
      <c r="BH39" t="n">
        <v>0</v>
      </c>
      <c r="BI39" t="n">
        <v>0</v>
      </c>
      <c r="BJ39" t="n">
        <v>0</v>
      </c>
      <c r="BK39" t="n">
        <v>0</v>
      </c>
      <c r="BL39" t="n">
        <v>3976838.6497992</v>
      </c>
      <c r="BM39" t="n">
        <v>0</v>
      </c>
      <c r="BN39" t="n">
        <v>220770087.503099</v>
      </c>
      <c r="BO39" t="n">
        <v>154030292.508703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s">
        <v>157</v>
      </c>
      <c r="B40" t="n">
        <v>0</v>
      </c>
      <c r="C40" t="n">
        <v>9894568.1826909</v>
      </c>
      <c r="D40" t="n">
        <v>0</v>
      </c>
      <c r="E40" t="n">
        <v>0</v>
      </c>
      <c r="F40" t="n">
        <v>0</v>
      </c>
      <c r="G40" t="n">
        <v>0</v>
      </c>
      <c r="H40" t="n">
        <v>147437.094486302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1194642566.50583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6366601.80736305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2461752.69884705</v>
      </c>
      <c r="AZ40" t="n">
        <v>0</v>
      </c>
      <c r="BA40" t="n">
        <v>1090140.94105023</v>
      </c>
      <c r="BB40" t="n">
        <v>8238606.12826489</v>
      </c>
      <c r="BC40" t="n">
        <v>0</v>
      </c>
      <c r="BD40" t="n">
        <v>0</v>
      </c>
      <c r="BE40" t="n">
        <v>0</v>
      </c>
      <c r="BF40" t="n">
        <v>0</v>
      </c>
      <c r="BG40" t="n">
        <v>335084.305650687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s">
        <v>158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2529212.31542026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1269496983.93453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8334211.66587278</v>
      </c>
      <c r="AZ41" t="n">
        <v>0</v>
      </c>
      <c r="BA41" t="n">
        <v>1584566.75182956</v>
      </c>
      <c r="BB41" t="n">
        <v>10817715.3249903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s">
        <v>159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86081.5774212256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4972157993.42741</v>
      </c>
      <c r="AJ42" t="n">
        <v>0</v>
      </c>
      <c r="AK42" t="n">
        <v>0</v>
      </c>
      <c r="AL42" t="n">
        <v>0</v>
      </c>
      <c r="AM42" t="n">
        <v>232506340.61473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1377305.23873961</v>
      </c>
      <c r="BB42" t="n">
        <v>6628281.46143437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28148675.8167408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s">
        <v>160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494042.074103307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4043970657.52753</v>
      </c>
      <c r="AK43" t="n">
        <v>0</v>
      </c>
      <c r="AL43" t="n">
        <v>0</v>
      </c>
      <c r="AM43" t="n">
        <v>222157832.67015</v>
      </c>
      <c r="AN43" t="n">
        <v>69831773.1699935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3662355.37541799</v>
      </c>
      <c r="AZ43" t="n">
        <v>0</v>
      </c>
      <c r="BA43" t="n">
        <v>1202885.04999066</v>
      </c>
      <c r="BB43" t="n">
        <v>6164785.88120213</v>
      </c>
      <c r="BC43" t="n">
        <v>0</v>
      </c>
      <c r="BD43" t="n">
        <v>0</v>
      </c>
      <c r="BE43" t="n">
        <v>17005663.708155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s">
        <v>161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707176516.489988</v>
      </c>
      <c r="AL44" t="n">
        <v>0</v>
      </c>
      <c r="AM44" t="n">
        <v>77561.8374558304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12926.9729093051</v>
      </c>
      <c r="BB44" t="n">
        <v>814399.293286219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s">
        <v>162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3281379.62939166</v>
      </c>
      <c r="H45" t="n">
        <v>2138610.60423038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992560199.439718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555059.240792619</v>
      </c>
      <c r="BB45" t="n">
        <v>6987216.32527179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s">
        <v>163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2120283.58550964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255219.320478012</v>
      </c>
      <c r="AE46" t="n">
        <v>0</v>
      </c>
      <c r="AF46" t="n">
        <v>0</v>
      </c>
      <c r="AG46" t="n">
        <v>628232.173484338</v>
      </c>
      <c r="AH46" t="n">
        <v>0</v>
      </c>
      <c r="AI46" t="n">
        <v>7283566.76133405</v>
      </c>
      <c r="AJ46" t="n">
        <v>11700824.2311458</v>
      </c>
      <c r="AK46" t="n">
        <v>10346198.6070702</v>
      </c>
      <c r="AL46" t="n">
        <v>0</v>
      </c>
      <c r="AM46" t="n">
        <v>4981194006.79105</v>
      </c>
      <c r="AN46" t="n">
        <v>25737886.8574365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58896.7662641567</v>
      </c>
      <c r="AZ46" t="n">
        <v>0</v>
      </c>
      <c r="BA46" t="n">
        <v>6674966.84327109</v>
      </c>
      <c r="BB46" t="n">
        <v>126667311.97878</v>
      </c>
      <c r="BC46" t="n">
        <v>0</v>
      </c>
      <c r="BD46" t="n">
        <v>98161.2771069279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804922.472276808</v>
      </c>
      <c r="BO46" t="n">
        <v>19396668.3563289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s">
        <v>164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733648.630230339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3766792.96715279</v>
      </c>
      <c r="AK47" t="n">
        <v>0</v>
      </c>
      <c r="AL47" t="n">
        <v>0</v>
      </c>
      <c r="AM47" t="n">
        <v>18538315.3877607</v>
      </c>
      <c r="AN47" t="n">
        <v>1440185111.08082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2157145.97246831</v>
      </c>
      <c r="BB47" t="n">
        <v>12121627.3681341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s">
        <v>165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5530.62052913133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397242.831048911</v>
      </c>
      <c r="Y48" t="n">
        <v>0</v>
      </c>
      <c r="Z48" t="n">
        <v>0</v>
      </c>
      <c r="AA48" t="n">
        <v>0</v>
      </c>
      <c r="AB48" t="n">
        <v>384017.434131423</v>
      </c>
      <c r="AC48" t="n">
        <v>0</v>
      </c>
      <c r="AD48" t="n">
        <v>0</v>
      </c>
      <c r="AE48" t="n">
        <v>0</v>
      </c>
      <c r="AF48" t="n">
        <v>595383.323049095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666779866.576535</v>
      </c>
      <c r="AP48" t="n">
        <v>0</v>
      </c>
      <c r="AQ48" t="n">
        <v>0</v>
      </c>
      <c r="AR48" t="n">
        <v>9375363.64392614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3364300.5140468</v>
      </c>
      <c r="BB48" t="n">
        <v>11029259.6438985</v>
      </c>
      <c r="BC48" t="n">
        <v>0</v>
      </c>
      <c r="BD48" t="n">
        <v>42080.8083738253</v>
      </c>
      <c r="BE48" t="n">
        <v>150.123297890847</v>
      </c>
      <c r="BF48" t="n">
        <v>84402.0785097868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240.461762136145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s">
        <v>166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834360.911437133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129102.019998739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52807.6526226034</v>
      </c>
      <c r="AC49" t="n">
        <v>0</v>
      </c>
      <c r="AD49" t="n">
        <v>0</v>
      </c>
      <c r="AE49" t="n">
        <v>0</v>
      </c>
      <c r="AF49" t="n">
        <v>3854958.64145005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1728162116.66627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1531421.9260555</v>
      </c>
      <c r="AY49" t="n">
        <v>675937.953569323</v>
      </c>
      <c r="AZ49" t="n">
        <v>0</v>
      </c>
      <c r="BA49" t="n">
        <v>4921673.22442663</v>
      </c>
      <c r="BB49" t="n">
        <v>21429345.4342524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591445.709373157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s">
        <v>167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7265084.56463617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882143.832653134</v>
      </c>
      <c r="AC50" t="n">
        <v>0</v>
      </c>
      <c r="AD50" t="n">
        <v>0</v>
      </c>
      <c r="AE50" t="n">
        <v>0</v>
      </c>
      <c r="AF50" t="n">
        <v>61409812.8074103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7813273.94635633</v>
      </c>
      <c r="AQ50" t="n">
        <v>4766765016.17923</v>
      </c>
      <c r="AR50" t="n">
        <v>44107.1916326567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69790179.2176151</v>
      </c>
      <c r="AZ50" t="n">
        <v>0</v>
      </c>
      <c r="BA50" t="n">
        <v>18020938.2956283</v>
      </c>
      <c r="BB50" t="n">
        <v>696301331.222623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4750974.64157474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s">
        <v>168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1462830.63519755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1982822.92543284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6416380.37192114</v>
      </c>
      <c r="AC51" t="n">
        <v>0</v>
      </c>
      <c r="AD51" t="n">
        <v>0</v>
      </c>
      <c r="AE51" t="n">
        <v>0</v>
      </c>
      <c r="AF51" t="n">
        <v>304833.829952221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86080912.4783562</v>
      </c>
      <c r="AP51" t="n">
        <v>0</v>
      </c>
      <c r="AQ51" t="n">
        <v>4514886.42045088</v>
      </c>
      <c r="AR51" t="n">
        <v>485908842.429571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42751.0859079334</v>
      </c>
      <c r="AZ51" t="n">
        <v>0</v>
      </c>
      <c r="BA51" t="n">
        <v>30914611.3400326</v>
      </c>
      <c r="BB51" t="n">
        <v>336703835.125153</v>
      </c>
      <c r="BC51" t="n">
        <v>0</v>
      </c>
      <c r="BD51" t="n">
        <v>113383.314799302</v>
      </c>
      <c r="BE51" t="n">
        <v>0</v>
      </c>
      <c r="BF51" t="n">
        <v>208179.20094298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174721.829362858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s">
        <v>169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26370.3419453606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6686536422.10599</v>
      </c>
      <c r="AT52" t="n">
        <v>191204756.860324</v>
      </c>
      <c r="AU52" t="n">
        <v>0</v>
      </c>
      <c r="AV52" t="n">
        <v>0</v>
      </c>
      <c r="AW52" t="n">
        <v>0</v>
      </c>
      <c r="AX52" t="n">
        <v>0</v>
      </c>
      <c r="AY52" t="n">
        <v>472081861.505846</v>
      </c>
      <c r="AZ52" t="n">
        <v>0</v>
      </c>
      <c r="BA52" t="n">
        <v>16619908.0110635</v>
      </c>
      <c r="BB52" t="n">
        <v>16580352.4981455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s">
        <v>170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2424.11210264129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61325187.9726194</v>
      </c>
      <c r="AT53" t="n">
        <v>1398193923.23406</v>
      </c>
      <c r="AU53" t="n">
        <v>9182536.64480522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2538045.37146543</v>
      </c>
      <c r="BB53" t="n">
        <v>2601072.28613411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s">
        <v>171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46582.4196187185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13788396.2071407</v>
      </c>
      <c r="AU54" t="n">
        <v>10490118669.5534</v>
      </c>
      <c r="AV54" t="n">
        <v>0</v>
      </c>
      <c r="AW54" t="n">
        <v>0</v>
      </c>
      <c r="AX54" t="n">
        <v>0</v>
      </c>
      <c r="AY54" t="n">
        <v>0</v>
      </c>
      <c r="AZ54" t="n">
        <v>791901.133518214</v>
      </c>
      <c r="BA54" t="n">
        <v>22294346.0295187</v>
      </c>
      <c r="BB54" t="n">
        <v>25163823.0780317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s">
        <v>172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1242837378.91738</v>
      </c>
      <c r="AW55" t="n">
        <v>0</v>
      </c>
      <c r="AX55" t="n">
        <v>0</v>
      </c>
      <c r="AY55" t="n">
        <v>0</v>
      </c>
      <c r="AZ55" t="n">
        <v>0</v>
      </c>
      <c r="BA55" t="n">
        <v>42165.2421652422</v>
      </c>
      <c r="BB55" t="n">
        <v>42165.2421652422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s">
        <v>173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226727303.704318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26076295451.0178</v>
      </c>
      <c r="AX56" t="n">
        <v>0</v>
      </c>
      <c r="AY56" t="n">
        <v>0</v>
      </c>
      <c r="AZ56" t="n">
        <v>0</v>
      </c>
      <c r="BA56" t="n">
        <v>1185502.24159121</v>
      </c>
      <c r="BB56" t="n">
        <v>1470022.7795731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s">
        <v>174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1761463.74145376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8510071.7008985</v>
      </c>
      <c r="AT57" t="n">
        <v>0</v>
      </c>
      <c r="AU57" t="n">
        <v>2152288.50908882</v>
      </c>
      <c r="AV57" t="n">
        <v>0</v>
      </c>
      <c r="AW57" t="n">
        <v>0</v>
      </c>
      <c r="AX57" t="n">
        <v>7884641981.19857</v>
      </c>
      <c r="AY57" t="n">
        <v>0</v>
      </c>
      <c r="AZ57" t="n">
        <v>0</v>
      </c>
      <c r="BA57" t="n">
        <v>1673390.55438108</v>
      </c>
      <c r="BB57" t="n">
        <v>3192653.03138495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374311.045058925</v>
      </c>
      <c r="BN57" t="n">
        <v>0</v>
      </c>
      <c r="BO57" t="n">
        <v>1233024.61901764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</row>
    <row r="58">
      <c r="A58" t="s">
        <v>175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1683808.19439913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11573517.0830219</v>
      </c>
      <c r="AD58" t="n">
        <v>0</v>
      </c>
      <c r="AE58" t="n">
        <v>65668519.5815661</v>
      </c>
      <c r="AF58" t="n">
        <v>5946613.74983997</v>
      </c>
      <c r="AG58" t="n">
        <v>0</v>
      </c>
      <c r="AH58" t="n">
        <v>0</v>
      </c>
      <c r="AI58" t="n">
        <v>0</v>
      </c>
      <c r="AJ58" t="n">
        <v>27324583.6103758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1641180.13884472</v>
      </c>
      <c r="AT58" t="n">
        <v>1790378.33328515</v>
      </c>
      <c r="AU58" t="n">
        <v>14557480.9718305</v>
      </c>
      <c r="AV58" t="n">
        <v>0</v>
      </c>
      <c r="AW58" t="n">
        <v>0</v>
      </c>
      <c r="AX58" t="n">
        <v>24702958.1937797</v>
      </c>
      <c r="AY58" t="n">
        <v>8401861865.60723</v>
      </c>
      <c r="AZ58" t="n">
        <v>0</v>
      </c>
      <c r="BA58" t="n">
        <v>3602070.69434751</v>
      </c>
      <c r="BB58" t="n">
        <v>4518573.88876729</v>
      </c>
      <c r="BC58" t="n">
        <v>0</v>
      </c>
      <c r="BD58" t="n">
        <v>0</v>
      </c>
      <c r="BE58" t="n">
        <v>0</v>
      </c>
      <c r="BF58" t="n">
        <v>63942.0833316126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26237568.1937384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s">
        <v>176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26020.4521250013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4818259160.89074</v>
      </c>
      <c r="BA59" t="n">
        <v>4696691.60856273</v>
      </c>
      <c r="BB59" t="n">
        <v>3525771.26293768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s">
        <v>177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28007.3618018807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435670.0724737</v>
      </c>
      <c r="AC60" t="n">
        <v>0</v>
      </c>
      <c r="AD60" t="n">
        <v>0</v>
      </c>
      <c r="AE60" t="n">
        <v>0</v>
      </c>
      <c r="AF60" t="n">
        <v>4646110.1300231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87254043.6355377</v>
      </c>
      <c r="AP60" t="n">
        <v>0</v>
      </c>
      <c r="AQ60" t="n">
        <v>513468.299701146</v>
      </c>
      <c r="AR60" t="n">
        <v>63240622.9486466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407662.710671819</v>
      </c>
      <c r="AZ60" t="n">
        <v>0</v>
      </c>
      <c r="BA60" t="n">
        <v>1470651008.57131</v>
      </c>
      <c r="BB60" t="n">
        <v>42303564.0371962</v>
      </c>
      <c r="BC60" t="n">
        <v>0</v>
      </c>
      <c r="BD60" t="n">
        <v>17535720.4170664</v>
      </c>
      <c r="BE60" t="n">
        <v>0</v>
      </c>
      <c r="BF60" t="n">
        <v>1185644.98294628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13007863.592429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s">
        <v>178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4842880.52339905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60160.0065018515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4865440.52583724</v>
      </c>
      <c r="AF61" t="n">
        <v>15453601.6701631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460186449.7351</v>
      </c>
      <c r="AS61" t="n">
        <v>0</v>
      </c>
      <c r="AT61" t="n">
        <v>3707360.4006766</v>
      </c>
      <c r="AU61" t="n">
        <v>0</v>
      </c>
      <c r="AV61" t="n">
        <v>0</v>
      </c>
      <c r="AW61" t="n">
        <v>0</v>
      </c>
      <c r="AX61" t="n">
        <v>0</v>
      </c>
      <c r="AY61" t="n">
        <v>293280.031696526</v>
      </c>
      <c r="AZ61" t="n">
        <v>0</v>
      </c>
      <c r="BA61" t="n">
        <v>97098250.4939883</v>
      </c>
      <c r="BB61" t="n">
        <v>11216863292.2735</v>
      </c>
      <c r="BC61" t="n">
        <v>0</v>
      </c>
      <c r="BD61" t="n">
        <v>10934081.1817115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14859521.6059573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s">
        <v>179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552091.069130287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80110981.9962424</v>
      </c>
      <c r="BB62" t="n">
        <v>40610791.8990488</v>
      </c>
      <c r="BC62" t="n">
        <v>3934136761.98648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s">
        <v>180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13404141.5755267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15627034.8047778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12230682.9180251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1354724.62898562</v>
      </c>
      <c r="AV63" t="n">
        <v>0</v>
      </c>
      <c r="AW63" t="n">
        <v>0</v>
      </c>
      <c r="AX63" t="n">
        <v>2556804.22935314</v>
      </c>
      <c r="AY63" t="n">
        <v>2280135.11498284</v>
      </c>
      <c r="AZ63" t="n">
        <v>0</v>
      </c>
      <c r="BA63" t="n">
        <v>118185413.407562</v>
      </c>
      <c r="BB63" t="n">
        <v>438902158.848475</v>
      </c>
      <c r="BC63" t="n">
        <v>0</v>
      </c>
      <c r="BD63" t="n">
        <v>9743637466.75043</v>
      </c>
      <c r="BE63" t="n">
        <v>1500651.30883562</v>
      </c>
      <c r="BF63" t="n">
        <v>248048.171504409</v>
      </c>
      <c r="BG63" t="n">
        <v>0</v>
      </c>
      <c r="BH63" t="n">
        <v>0</v>
      </c>
      <c r="BI63" t="n">
        <v>0</v>
      </c>
      <c r="BJ63" t="n">
        <v>362531.942967983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s">
        <v>181</v>
      </c>
      <c r="B64" t="n">
        <v>0</v>
      </c>
      <c r="C64" t="n">
        <v>0</v>
      </c>
      <c r="D64" t="n">
        <v>22552730.0406131</v>
      </c>
      <c r="E64" t="n">
        <v>0</v>
      </c>
      <c r="F64" t="n">
        <v>0</v>
      </c>
      <c r="G64" t="n">
        <v>0</v>
      </c>
      <c r="H64" t="n">
        <v>68772.5551828395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3885649.36783043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16849276.0197957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5398645.5818529</v>
      </c>
      <c r="AZ64" t="n">
        <v>0</v>
      </c>
      <c r="BA64" t="n">
        <v>756498.107011234</v>
      </c>
      <c r="BB64" t="n">
        <v>5364259.30426147</v>
      </c>
      <c r="BC64" t="n">
        <v>0</v>
      </c>
      <c r="BD64" t="n">
        <v>0</v>
      </c>
      <c r="BE64" t="n">
        <v>2380177980.3116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32735736.2670316</v>
      </c>
      <c r="BV64" t="n">
        <v>0</v>
      </c>
    </row>
    <row r="65">
      <c r="A65" t="s">
        <v>182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7311233.94714351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8147998.9196349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1223768.77226866</v>
      </c>
      <c r="AV65" t="n">
        <v>0</v>
      </c>
      <c r="AW65" t="n">
        <v>0</v>
      </c>
      <c r="AX65" t="n">
        <v>690331.102305396</v>
      </c>
      <c r="AY65" t="n">
        <v>0</v>
      </c>
      <c r="AZ65" t="n">
        <v>0</v>
      </c>
      <c r="BA65" t="n">
        <v>52046781.2889644</v>
      </c>
      <c r="BB65" t="n">
        <v>346472996.422216</v>
      </c>
      <c r="BC65" t="n">
        <v>0</v>
      </c>
      <c r="BD65" t="n">
        <v>0</v>
      </c>
      <c r="BE65" t="n">
        <v>0</v>
      </c>
      <c r="BF65" t="n">
        <v>3139270228.17163</v>
      </c>
      <c r="BG65" t="n">
        <v>0</v>
      </c>
      <c r="BH65" t="n">
        <v>0</v>
      </c>
      <c r="BI65" t="n">
        <v>0</v>
      </c>
      <c r="BJ65" t="n">
        <v>0</v>
      </c>
      <c r="BK65" t="n">
        <v>18042744.7193456</v>
      </c>
      <c r="BL65" t="n">
        <v>0</v>
      </c>
      <c r="BM65" t="n">
        <v>297825572.833997</v>
      </c>
      <c r="BN65" t="n">
        <v>136162580.148661</v>
      </c>
      <c r="BO65" t="n">
        <v>491599.421338691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s">
        <v>183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6215873.91138415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121302593.276652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5955328.29833212</v>
      </c>
      <c r="AZ66" t="n">
        <v>0</v>
      </c>
      <c r="BA66" t="n">
        <v>10558300.7955847</v>
      </c>
      <c r="BB66" t="n">
        <v>5099249.85544688</v>
      </c>
      <c r="BC66" t="n">
        <v>0</v>
      </c>
      <c r="BD66" t="n">
        <v>0</v>
      </c>
      <c r="BE66" t="n">
        <v>0</v>
      </c>
      <c r="BF66" t="n">
        <v>0</v>
      </c>
      <c r="BG66" t="n">
        <v>14270715980.4914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669974.433562363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</row>
    <row r="67">
      <c r="A67" t="s">
        <v>184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16508174.5312131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23420081.0709905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2048932.89546871</v>
      </c>
      <c r="AZ67" t="n">
        <v>0</v>
      </c>
      <c r="BA67" t="n">
        <v>36206459.7730927</v>
      </c>
      <c r="BB67" t="n">
        <v>103510015.010324</v>
      </c>
      <c r="BC67" t="n">
        <v>0</v>
      </c>
      <c r="BD67" t="n">
        <v>0</v>
      </c>
      <c r="BE67" t="n">
        <v>0</v>
      </c>
      <c r="BF67" t="n">
        <v>0</v>
      </c>
      <c r="BG67" t="n">
        <v>50069176.6418018</v>
      </c>
      <c r="BH67" t="n">
        <v>11819593605.7542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24262996.5026706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s">
        <v>185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470048.169070917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284215.171996368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1814604.55966912</v>
      </c>
      <c r="AY68" t="n">
        <v>0</v>
      </c>
      <c r="AZ68" t="n">
        <v>0</v>
      </c>
      <c r="BA68" t="n">
        <v>349803.288610915</v>
      </c>
      <c r="BB68" t="n">
        <v>229558.408150913</v>
      </c>
      <c r="BC68" t="n">
        <v>0</v>
      </c>
      <c r="BD68" t="n">
        <v>0</v>
      </c>
      <c r="BE68" t="n">
        <v>0</v>
      </c>
      <c r="BF68" t="n">
        <v>0</v>
      </c>
      <c r="BG68" t="n">
        <v>1617840.20982548</v>
      </c>
      <c r="BH68" t="n">
        <v>0</v>
      </c>
      <c r="BI68" t="n">
        <v>2836992121.45667</v>
      </c>
      <c r="BJ68" t="n">
        <v>7094447.94714012</v>
      </c>
      <c r="BK68" t="n">
        <v>0</v>
      </c>
      <c r="BL68" t="n">
        <v>0</v>
      </c>
      <c r="BM68" t="n">
        <v>0</v>
      </c>
      <c r="BN68" t="n">
        <v>6996065.7722183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s">
        <v>186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1603942.71088602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2124968.68703371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1266808.25573163</v>
      </c>
      <c r="BB69" t="n">
        <v>224756.303436258</v>
      </c>
      <c r="BC69" t="n">
        <v>0</v>
      </c>
      <c r="BD69" t="n">
        <v>0</v>
      </c>
      <c r="BE69" t="n">
        <v>0</v>
      </c>
      <c r="BF69" t="n">
        <v>0</v>
      </c>
      <c r="BG69" t="n">
        <v>2339508.79485923</v>
      </c>
      <c r="BH69" t="n">
        <v>0</v>
      </c>
      <c r="BI69" t="n">
        <v>19410771.6604041</v>
      </c>
      <c r="BJ69" t="n">
        <v>2505123541.90492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</row>
    <row r="70">
      <c r="A70" t="s">
        <v>187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6271722.80779167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14205707.1077298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11013757.1258781</v>
      </c>
      <c r="AY70" t="n">
        <v>16510437.7655524</v>
      </c>
      <c r="AZ70" t="n">
        <v>0</v>
      </c>
      <c r="BA70" t="n">
        <v>1448105.10358767</v>
      </c>
      <c r="BB70" t="n">
        <v>88456786.3980243</v>
      </c>
      <c r="BC70" t="n">
        <v>0</v>
      </c>
      <c r="BD70" t="n">
        <v>0</v>
      </c>
      <c r="BE70" t="n">
        <v>0</v>
      </c>
      <c r="BF70" t="n">
        <v>3191949.9818517</v>
      </c>
      <c r="BG70" t="n">
        <v>0</v>
      </c>
      <c r="BH70" t="n">
        <v>0</v>
      </c>
      <c r="BI70" t="n">
        <v>0</v>
      </c>
      <c r="BJ70" t="n">
        <v>0</v>
      </c>
      <c r="BK70" t="n">
        <v>2075358967.75296</v>
      </c>
      <c r="BL70" t="n">
        <v>22007118.4052267</v>
      </c>
      <c r="BM70" t="n">
        <v>81583.3861176152</v>
      </c>
      <c r="BN70" t="n">
        <v>45921248.4609527</v>
      </c>
      <c r="BO70" t="n">
        <v>3773231.60793971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</row>
    <row r="71">
      <c r="A71" t="s">
        <v>188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6991139.35843158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1103864.10922604</v>
      </c>
      <c r="AD71" t="n">
        <v>0</v>
      </c>
      <c r="AE71" t="n">
        <v>0</v>
      </c>
      <c r="AF71" t="n">
        <v>33631059.8610867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784970.033227406</v>
      </c>
      <c r="AY71" t="n">
        <v>3017228.56521784</v>
      </c>
      <c r="AZ71" t="n">
        <v>0</v>
      </c>
      <c r="BA71" t="n">
        <v>784970.033227406</v>
      </c>
      <c r="BB71" t="n">
        <v>1018008.01184179</v>
      </c>
      <c r="BC71" t="n">
        <v>0</v>
      </c>
      <c r="BD71" t="n">
        <v>0</v>
      </c>
      <c r="BE71" t="n">
        <v>0</v>
      </c>
      <c r="BF71" t="n">
        <v>37028508.286149</v>
      </c>
      <c r="BG71" t="n">
        <v>0</v>
      </c>
      <c r="BH71" t="n">
        <v>0</v>
      </c>
      <c r="BI71" t="n">
        <v>0</v>
      </c>
      <c r="BJ71" t="n">
        <v>7690253.29427474</v>
      </c>
      <c r="BK71" t="n">
        <v>171712.194768495</v>
      </c>
      <c r="BL71" t="n">
        <v>1843563448.81841</v>
      </c>
      <c r="BM71" t="n">
        <v>2502091.98091236</v>
      </c>
      <c r="BN71" t="n">
        <v>130844692.413593</v>
      </c>
      <c r="BO71" t="n">
        <v>44436662.9747327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</row>
    <row r="72">
      <c r="A72" t="s">
        <v>189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23643479.1979924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130195.370032998</v>
      </c>
      <c r="AD72" t="n">
        <v>3684528.97193384</v>
      </c>
      <c r="AE72" t="n">
        <v>5429146.93037601</v>
      </c>
      <c r="AF72" t="n">
        <v>9452183.86439565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2057086.84652137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14633959.591709</v>
      </c>
      <c r="AY72" t="n">
        <v>13774670.1494912</v>
      </c>
      <c r="AZ72" t="n">
        <v>0</v>
      </c>
      <c r="BA72" t="n">
        <v>703054.998178189</v>
      </c>
      <c r="BB72" t="n">
        <v>52078.1480131992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13774670.1494912</v>
      </c>
      <c r="BL72" t="n">
        <v>432222589.435546</v>
      </c>
      <c r="BM72" t="n">
        <v>2820122851.67376</v>
      </c>
      <c r="BN72" t="n">
        <v>623844135.050113</v>
      </c>
      <c r="BO72" t="n">
        <v>26664011.782758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</row>
    <row r="73">
      <c r="A73" t="s">
        <v>190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10010411.2350107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404220.881223709</v>
      </c>
      <c r="AC73" t="n">
        <v>0</v>
      </c>
      <c r="AD73" t="n">
        <v>7073865.4214149</v>
      </c>
      <c r="AE73" t="n">
        <v>0</v>
      </c>
      <c r="AF73" t="n">
        <v>19022159.1164098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35666.5483432684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15883502.8622022</v>
      </c>
      <c r="BM73" t="n">
        <v>213999.290059611</v>
      </c>
      <c r="BN73" t="n">
        <v>10754439211.1501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95110.7955820491</v>
      </c>
      <c r="BV73" t="n">
        <v>0</v>
      </c>
    </row>
    <row r="74">
      <c r="A74" t="s">
        <v>191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5808686.15338255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5937768.06790216</v>
      </c>
      <c r="AC74" t="n">
        <v>22378110.0899001</v>
      </c>
      <c r="AD74" t="n">
        <v>0</v>
      </c>
      <c r="AE74" t="n">
        <v>1713269.04726031</v>
      </c>
      <c r="AF74" t="n">
        <v>54320016.5737532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8871447.9433479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16804118.3265532</v>
      </c>
      <c r="AY74" t="n">
        <v>4658683.64220782</v>
      </c>
      <c r="AZ74" t="n">
        <v>0</v>
      </c>
      <c r="BA74" t="n">
        <v>13213294.1590076</v>
      </c>
      <c r="BB74" t="n">
        <v>13236763.5980111</v>
      </c>
      <c r="BC74" t="n">
        <v>0</v>
      </c>
      <c r="BD74" t="n">
        <v>0</v>
      </c>
      <c r="BE74" t="n">
        <v>0</v>
      </c>
      <c r="BF74" t="n">
        <v>117347.195017829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39100085.3799407</v>
      </c>
      <c r="BO74" t="n">
        <v>8928877660.58962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</row>
    <row r="75">
      <c r="A75" t="s">
        <v>192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22396.2962310031</v>
      </c>
      <c r="I75" t="n">
        <v>0</v>
      </c>
      <c r="J75" t="n">
        <v>0</v>
      </c>
      <c r="K75" t="n">
        <v>0</v>
      </c>
      <c r="L75" t="n">
        <v>0</v>
      </c>
      <c r="M75" t="n">
        <v>10519.715869069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15560.2806878971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328479.011388045</v>
      </c>
      <c r="AQ75" t="n">
        <v>0</v>
      </c>
      <c r="AR75" t="n">
        <v>111981.481155015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13811049.3424519</v>
      </c>
      <c r="BB75" t="n">
        <v>174325304.430051</v>
      </c>
      <c r="BC75" t="n">
        <v>0</v>
      </c>
      <c r="BD75" t="n">
        <v>0</v>
      </c>
      <c r="BE75" t="n">
        <v>0</v>
      </c>
      <c r="BF75" t="n">
        <v>1821565.42678825</v>
      </c>
      <c r="BG75" t="n">
        <v>0</v>
      </c>
      <c r="BH75" t="n">
        <v>11601281.4476596</v>
      </c>
      <c r="BI75" t="n">
        <v>0</v>
      </c>
      <c r="BJ75" t="n">
        <v>0</v>
      </c>
      <c r="BK75" t="n">
        <v>164239.505694023</v>
      </c>
      <c r="BL75" t="n">
        <v>0</v>
      </c>
      <c r="BM75" t="n">
        <v>0</v>
      </c>
      <c r="BN75" t="n">
        <v>0</v>
      </c>
      <c r="BO75" t="n">
        <v>0</v>
      </c>
      <c r="BP75" t="n">
        <v>5041077802.5874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</row>
    <row r="76">
      <c r="A76" t="s">
        <v>193</v>
      </c>
      <c r="B76" t="n">
        <v>0</v>
      </c>
      <c r="C76" t="n">
        <v>1991934.87700904</v>
      </c>
      <c r="D76" t="n">
        <v>0</v>
      </c>
      <c r="E76" t="n">
        <v>0</v>
      </c>
      <c r="F76" t="n">
        <v>0</v>
      </c>
      <c r="G76" t="n">
        <v>360282.712336509</v>
      </c>
      <c r="H76" t="n">
        <v>3371876.66673912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373973.673897058</v>
      </c>
      <c r="T76" t="n">
        <v>0</v>
      </c>
      <c r="U76" t="n">
        <v>0</v>
      </c>
      <c r="V76" t="n">
        <v>0</v>
      </c>
      <c r="W76" t="n">
        <v>0</v>
      </c>
      <c r="X76" t="n">
        <v>55428.1095902321</v>
      </c>
      <c r="Y76" t="n">
        <v>0</v>
      </c>
      <c r="Z76" t="n">
        <v>24784.8964223149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2210729.29996186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554281.095902321</v>
      </c>
      <c r="AW76" t="n">
        <v>0</v>
      </c>
      <c r="AX76" t="n">
        <v>0</v>
      </c>
      <c r="AY76" t="n">
        <v>0</v>
      </c>
      <c r="AZ76" t="n">
        <v>0</v>
      </c>
      <c r="BA76" t="n">
        <v>18799367.1693537</v>
      </c>
      <c r="BB76" t="n">
        <v>189407088.488088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9247256.28330373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3805934192.94023</v>
      </c>
      <c r="BR76" t="n">
        <v>3094736.11878796</v>
      </c>
      <c r="BS76" t="n">
        <v>0</v>
      </c>
      <c r="BT76" t="n">
        <v>0</v>
      </c>
      <c r="BU76" t="n">
        <v>0</v>
      </c>
      <c r="BV76" t="n">
        <v>40231569.5442435</v>
      </c>
    </row>
    <row r="77">
      <c r="A77" t="s">
        <v>194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156992581.981691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25197385.6098323</v>
      </c>
      <c r="AF77" t="n">
        <v>541879.260426502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152403.541994954</v>
      </c>
      <c r="AQ77" t="n">
        <v>0</v>
      </c>
      <c r="AR77" t="n">
        <v>0</v>
      </c>
      <c r="AS77" t="n">
        <v>0</v>
      </c>
      <c r="AT77" t="n">
        <v>0</v>
      </c>
      <c r="AU77" t="n">
        <v>23004467.9777938</v>
      </c>
      <c r="AV77" t="n">
        <v>0</v>
      </c>
      <c r="AW77" t="n">
        <v>0</v>
      </c>
      <c r="AX77" t="n">
        <v>7120632.156542</v>
      </c>
      <c r="AY77" t="n">
        <v>0</v>
      </c>
      <c r="AZ77" t="n">
        <v>0</v>
      </c>
      <c r="BA77" t="n">
        <v>4953115.11483599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12920433.6157944</v>
      </c>
      <c r="BO77" t="n">
        <v>0</v>
      </c>
      <c r="BP77" t="n">
        <v>0</v>
      </c>
      <c r="BQ77" t="n">
        <v>0</v>
      </c>
      <c r="BR77" t="n">
        <v>606515295.95925</v>
      </c>
      <c r="BS77" t="n">
        <v>0</v>
      </c>
      <c r="BT77" t="n">
        <v>0</v>
      </c>
      <c r="BU77" t="n">
        <v>0</v>
      </c>
      <c r="BV77" t="n">
        <v>0</v>
      </c>
    </row>
    <row r="78">
      <c r="A78" t="s">
        <v>195</v>
      </c>
      <c r="B78" t="n">
        <v>8435144.96339134</v>
      </c>
      <c r="C78" t="n">
        <v>154875660.691951</v>
      </c>
      <c r="D78" t="n">
        <v>0</v>
      </c>
      <c r="E78" t="n">
        <v>15040894.5433914</v>
      </c>
      <c r="F78" t="n">
        <v>0</v>
      </c>
      <c r="G78" t="n">
        <v>17127547.9519407</v>
      </c>
      <c r="H78" t="n">
        <v>294302854.846783</v>
      </c>
      <c r="I78" t="n">
        <v>1620187.74635875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16692399.052552</v>
      </c>
      <c r="T78" t="n">
        <v>50556642.0877529</v>
      </c>
      <c r="U78" t="n">
        <v>0</v>
      </c>
      <c r="V78" t="n">
        <v>16553039.6231786</v>
      </c>
      <c r="W78" t="n">
        <v>3885204.96627656</v>
      </c>
      <c r="X78" t="n">
        <v>24573732.8916647</v>
      </c>
      <c r="Y78" t="n">
        <v>0</v>
      </c>
      <c r="Z78" t="n">
        <v>783791.914143761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12549869.5380106</v>
      </c>
      <c r="AP78" t="n">
        <v>13225.9057543943</v>
      </c>
      <c r="AQ78" t="n">
        <v>0</v>
      </c>
      <c r="AR78" t="n">
        <v>33686381.9564424</v>
      </c>
      <c r="AS78" t="n">
        <v>0</v>
      </c>
      <c r="AT78" t="n">
        <v>0</v>
      </c>
      <c r="AU78" t="n">
        <v>0</v>
      </c>
      <c r="AV78" t="n">
        <v>440290402.563787</v>
      </c>
      <c r="AW78" t="n">
        <v>0</v>
      </c>
      <c r="AX78" t="n">
        <v>0</v>
      </c>
      <c r="AY78" t="n">
        <v>0</v>
      </c>
      <c r="AZ78" t="n">
        <v>0</v>
      </c>
      <c r="BA78" t="n">
        <v>65309522.6151992</v>
      </c>
      <c r="BB78" t="n">
        <v>784468148.010391</v>
      </c>
      <c r="BC78" t="n">
        <v>0</v>
      </c>
      <c r="BD78" t="n">
        <v>128476448.498187</v>
      </c>
      <c r="BE78" t="n">
        <v>75337601.2884954</v>
      </c>
      <c r="BF78" t="n">
        <v>1341477168.85671</v>
      </c>
      <c r="BG78" t="n">
        <v>486184295.531536</v>
      </c>
      <c r="BH78" t="n">
        <v>3049073860.80656</v>
      </c>
      <c r="BI78" t="n">
        <v>0</v>
      </c>
      <c r="BJ78" t="n">
        <v>52877171.2060685</v>
      </c>
      <c r="BK78" t="n">
        <v>45153242.2455023</v>
      </c>
      <c r="BL78" t="n">
        <v>37482216.9079536</v>
      </c>
      <c r="BM78" t="n">
        <v>149558542.270691</v>
      </c>
      <c r="BN78" t="n">
        <v>268432983.191187</v>
      </c>
      <c r="BO78" t="n">
        <v>16294315.8894138</v>
      </c>
      <c r="BP78" t="n">
        <v>0</v>
      </c>
      <c r="BQ78" t="n">
        <v>0</v>
      </c>
      <c r="BR78" t="n">
        <v>0</v>
      </c>
      <c r="BS78" t="n">
        <v>25457408558.7388</v>
      </c>
      <c r="BT78" t="n">
        <v>0</v>
      </c>
      <c r="BU78" t="n">
        <v>58842054.7013004</v>
      </c>
      <c r="BV78" t="n">
        <v>0</v>
      </c>
    </row>
    <row r="79">
      <c r="A79" t="s">
        <v>196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1162003200.33709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45429194.0749863</v>
      </c>
      <c r="AE79" t="n">
        <v>0</v>
      </c>
      <c r="AF79" t="n">
        <v>0</v>
      </c>
      <c r="AG79" t="n">
        <v>0</v>
      </c>
      <c r="AH79" t="n">
        <v>1039281.38958374</v>
      </c>
      <c r="AI79" t="n">
        <v>3621738.17582213</v>
      </c>
      <c r="AJ79" t="n">
        <v>0</v>
      </c>
      <c r="AK79" t="n">
        <v>136822969.607472</v>
      </c>
      <c r="AL79" t="n">
        <v>0</v>
      </c>
      <c r="AM79" t="n">
        <v>125028700.504468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165340.221070141</v>
      </c>
      <c r="AT79" t="n">
        <v>0</v>
      </c>
      <c r="AU79" t="n">
        <v>3432777.92317054</v>
      </c>
      <c r="AV79" t="n">
        <v>0</v>
      </c>
      <c r="AW79" t="n">
        <v>67167496.4737795</v>
      </c>
      <c r="AX79" t="n">
        <v>227783711.227631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779461.042187806</v>
      </c>
      <c r="BL79" t="n">
        <v>343679332.853939</v>
      </c>
      <c r="BM79" t="n">
        <v>0</v>
      </c>
      <c r="BN79" t="n">
        <v>0</v>
      </c>
      <c r="BO79" t="n">
        <v>26108008.2413613</v>
      </c>
      <c r="BP79" t="n">
        <v>0</v>
      </c>
      <c r="BQ79" t="n">
        <v>0</v>
      </c>
      <c r="BR79" t="n">
        <v>0</v>
      </c>
      <c r="BS79" t="n">
        <v>0</v>
      </c>
      <c r="BT79" t="n">
        <v>867697606.832238</v>
      </c>
      <c r="BU79" t="n">
        <v>0</v>
      </c>
      <c r="BV7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209</v>
      </c>
    </row>
    <row r="2">
      <c r="A2" t="s">
        <v>210</v>
      </c>
    </row>
    <row r="3">
      <c r="A3" t="s">
        <v>211</v>
      </c>
    </row>
    <row r="4">
      <c r="A4" t="s">
        <v>83</v>
      </c>
    </row>
    <row r="5">
      <c r="A5" t="s">
        <v>1</v>
      </c>
    </row>
    <row r="6">
      <c r="A6" t="s">
        <v>212</v>
      </c>
    </row>
    <row r="7">
      <c r="A7" t="s">
        <v>1</v>
      </c>
    </row>
    <row r="9">
      <c r="A9" t="s">
        <v>213</v>
      </c>
      <c r="B9" t="s">
        <v>214</v>
      </c>
      <c r="C9" t="s">
        <v>215</v>
      </c>
      <c r="D9" t="s">
        <v>216</v>
      </c>
      <c r="E9" t="s">
        <v>217</v>
      </c>
    </row>
    <row r="10">
      <c r="A10" t="s">
        <v>218</v>
      </c>
      <c r="B10" t="n">
        <v>12031000</v>
      </c>
      <c r="C10" t="s">
        <v>219</v>
      </c>
      <c r="D10" t="n">
        <v>600000000</v>
      </c>
      <c r="E10" t="s">
        <v>220</v>
      </c>
    </row>
    <row r="11">
      <c r="A11" t="s">
        <v>221</v>
      </c>
      <c r="B11" t="n">
        <v>1000000</v>
      </c>
      <c r="C11" t="s">
        <v>219</v>
      </c>
      <c r="D11" t="n">
        <v>40000000</v>
      </c>
      <c r="E11" t="s">
        <v>222</v>
      </c>
    </row>
    <row r="12">
      <c r="A12" t="s">
        <v>223</v>
      </c>
      <c r="B12" t="n">
        <v>4220000</v>
      </c>
      <c r="C12" t="s">
        <v>219</v>
      </c>
      <c r="D12" t="n">
        <v>125000000</v>
      </c>
      <c r="E12" t="s">
        <v>224</v>
      </c>
    </row>
    <row r="13">
      <c r="A13" t="s">
        <v>225</v>
      </c>
      <c r="B13" t="n">
        <v>0</v>
      </c>
      <c r="C13" t="s">
        <v>219</v>
      </c>
      <c r="D13" t="n">
        <v>0</v>
      </c>
      <c r="E13"/>
    </row>
    <row r="14">
      <c r="A14" t="s">
        <v>226</v>
      </c>
      <c r="B14" t="n">
        <v>0</v>
      </c>
      <c r="C14" t="s">
        <v>219</v>
      </c>
      <c r="D14" t="n">
        <v>0</v>
      </c>
      <c r="E14"/>
    </row>
    <row r="15">
      <c r="A15" t="s">
        <v>227</v>
      </c>
      <c r="B15" t="n">
        <v>10710000</v>
      </c>
      <c r="C15" t="s">
        <v>219</v>
      </c>
      <c r="D15" t="n">
        <v>330000000</v>
      </c>
      <c r="E15" t="s">
        <v>228</v>
      </c>
    </row>
    <row r="16">
      <c r="A16" t="s">
        <v>229</v>
      </c>
      <c r="B16" t="n">
        <v>0</v>
      </c>
      <c r="C16" t="s">
        <v>219</v>
      </c>
      <c r="D16" t="n">
        <v>0</v>
      </c>
      <c r="E16"/>
    </row>
    <row r="17">
      <c r="A17" t="s">
        <v>230</v>
      </c>
      <c r="B17" t="n">
        <v>0</v>
      </c>
      <c r="C17" t="s">
        <v>219</v>
      </c>
      <c r="D17" t="n">
        <v>0</v>
      </c>
      <c r="E17"/>
    </row>
    <row r="18">
      <c r="A18" t="s">
        <v>231</v>
      </c>
      <c r="B18" t="n">
        <v>0</v>
      </c>
      <c r="C18" t="s">
        <v>219</v>
      </c>
      <c r="D18" t="n">
        <v>0</v>
      </c>
      <c r="E18"/>
    </row>
    <row r="19">
      <c r="A19" t="s">
        <v>232</v>
      </c>
      <c r="B19" t="n">
        <v>0</v>
      </c>
      <c r="C19" t="s">
        <v>219</v>
      </c>
      <c r="D19" t="n">
        <v>0</v>
      </c>
      <c r="E19"/>
    </row>
    <row r="20">
      <c r="A20" t="s">
        <v>233</v>
      </c>
      <c r="B20" t="n">
        <v>0</v>
      </c>
      <c r="C20" t="s">
        <v>219</v>
      </c>
      <c r="D20" t="n">
        <v>0</v>
      </c>
      <c r="E20"/>
    </row>
    <row r="21">
      <c r="A21" t="s">
        <v>234</v>
      </c>
      <c r="B21" t="n">
        <v>0</v>
      </c>
      <c r="C21" t="s">
        <v>219</v>
      </c>
      <c r="D21" t="n">
        <v>0</v>
      </c>
      <c r="E21"/>
    </row>
    <row r="22">
      <c r="A22" t="s">
        <v>235</v>
      </c>
      <c r="B22" t="n">
        <v>0</v>
      </c>
      <c r="C22" t="s">
        <v>219</v>
      </c>
      <c r="D22" t="n">
        <v>0</v>
      </c>
      <c r="E22"/>
    </row>
    <row r="23">
      <c r="A23" t="s">
        <v>236</v>
      </c>
      <c r="B23" t="n">
        <v>45919000</v>
      </c>
      <c r="C23" t="s">
        <v>219</v>
      </c>
      <c r="D23" t="n">
        <v>1950000000</v>
      </c>
      <c r="E23" t="s">
        <v>237</v>
      </c>
    </row>
    <row r="24">
      <c r="A24" t="s">
        <v>238</v>
      </c>
      <c r="B24" t="n">
        <v>28820000</v>
      </c>
      <c r="C24" t="s">
        <v>219</v>
      </c>
      <c r="D24" t="n">
        <v>1210000000</v>
      </c>
      <c r="E24" t="s">
        <v>237</v>
      </c>
    </row>
    <row r="25">
      <c r="A25" t="s">
        <v>239</v>
      </c>
      <c r="B25" t="n">
        <v>0</v>
      </c>
      <c r="C25" t="s">
        <v>219</v>
      </c>
      <c r="D25" t="n">
        <v>0</v>
      </c>
      <c r="E25"/>
    </row>
    <row r="26">
      <c r="A26" t="s">
        <v>240</v>
      </c>
      <c r="B26" t="n">
        <v>0</v>
      </c>
      <c r="C26" t="s">
        <v>219</v>
      </c>
      <c r="D26" t="n">
        <v>0</v>
      </c>
      <c r="E26"/>
    </row>
    <row r="27">
      <c r="A27" t="s">
        <v>241</v>
      </c>
      <c r="B27" t="n">
        <v>36140000</v>
      </c>
      <c r="C27" t="s">
        <v>219</v>
      </c>
      <c r="D27" t="n">
        <v>1730000000</v>
      </c>
      <c r="E27" t="s">
        <v>242</v>
      </c>
    </row>
    <row r="28">
      <c r="A28" t="s">
        <v>243</v>
      </c>
      <c r="B28" t="n">
        <v>2720000</v>
      </c>
      <c r="C28" t="s">
        <v>219</v>
      </c>
      <c r="D28" t="n">
        <v>60000000</v>
      </c>
      <c r="E28" t="s">
        <v>244</v>
      </c>
    </row>
    <row r="29">
      <c r="A29" t="s">
        <v>245</v>
      </c>
      <c r="B29" t="n">
        <v>0</v>
      </c>
      <c r="C29" t="s">
        <v>219</v>
      </c>
      <c r="D29" t="n">
        <v>0</v>
      </c>
      <c r="E29"/>
    </row>
    <row r="30">
      <c r="A30" t="s">
        <v>246</v>
      </c>
      <c r="B30" t="n">
        <v>1320000</v>
      </c>
      <c r="C30" t="s">
        <v>219</v>
      </c>
      <c r="D30" t="n">
        <v>70000000</v>
      </c>
      <c r="E30" t="s">
        <v>247</v>
      </c>
    </row>
    <row r="31">
      <c r="A31" t="s">
        <v>248</v>
      </c>
      <c r="B31" t="n">
        <v>0</v>
      </c>
      <c r="C31" t="s">
        <v>219</v>
      </c>
      <c r="D31" t="n">
        <v>0</v>
      </c>
      <c r="E31"/>
    </row>
    <row r="32">
      <c r="A32" t="s">
        <v>249</v>
      </c>
      <c r="B32" t="n">
        <v>0</v>
      </c>
      <c r="C32" t="s">
        <v>219</v>
      </c>
      <c r="D32" t="n">
        <v>0</v>
      </c>
      <c r="E32"/>
    </row>
    <row r="33">
      <c r="A33" t="s">
        <v>250</v>
      </c>
      <c r="B33" t="n">
        <v>0</v>
      </c>
      <c r="C33" t="s">
        <v>219</v>
      </c>
      <c r="D33" t="n">
        <v>0</v>
      </c>
      <c r="E33"/>
    </row>
    <row r="34">
      <c r="A34" t="s">
        <v>251</v>
      </c>
      <c r="B34" t="n">
        <v>2800000</v>
      </c>
      <c r="C34" t="s">
        <v>219</v>
      </c>
      <c r="D34" t="n">
        <v>65000000</v>
      </c>
      <c r="E34" t="s">
        <v>252</v>
      </c>
    </row>
    <row r="35">
      <c r="A35" t="s">
        <v>253</v>
      </c>
      <c r="B35" t="n">
        <v>264000</v>
      </c>
      <c r="C35" t="s">
        <v>219</v>
      </c>
      <c r="D35" t="n">
        <v>12000000</v>
      </c>
      <c r="E35"/>
    </row>
    <row r="36">
      <c r="A36" t="s">
        <v>254</v>
      </c>
      <c r="B36" t="n">
        <v>38660000</v>
      </c>
      <c r="C36" t="s">
        <v>219</v>
      </c>
      <c r="D36" t="n">
        <v>590000000</v>
      </c>
      <c r="E36" t="s">
        <v>255</v>
      </c>
    </row>
    <row r="37">
      <c r="A37" t="s">
        <v>256</v>
      </c>
      <c r="B37" t="n">
        <v>0</v>
      </c>
      <c r="C37" t="s">
        <v>219</v>
      </c>
      <c r="D37" t="n">
        <v>0</v>
      </c>
      <c r="E37"/>
    </row>
    <row r="38">
      <c r="A38" t="s">
        <v>257</v>
      </c>
      <c r="B38" t="n">
        <v>0</v>
      </c>
      <c r="C38" t="s">
        <v>219</v>
      </c>
      <c r="D38" t="n">
        <v>0</v>
      </c>
      <c r="E38"/>
    </row>
    <row r="39">
      <c r="A39" t="s">
        <v>258</v>
      </c>
      <c r="B39" t="n">
        <v>0</v>
      </c>
      <c r="C39" t="s">
        <v>219</v>
      </c>
      <c r="D39" t="n">
        <v>0</v>
      </c>
      <c r="E39"/>
    </row>
    <row r="40">
      <c r="A40" t="s">
        <v>259</v>
      </c>
      <c r="B40" t="n">
        <v>0</v>
      </c>
      <c r="C40" t="s">
        <v>219</v>
      </c>
      <c r="D40" t="n">
        <v>0</v>
      </c>
      <c r="E40"/>
    </row>
    <row r="41">
      <c r="A41" t="s">
        <v>260</v>
      </c>
      <c r="B41" t="n">
        <v>10720000</v>
      </c>
      <c r="C41" t="s">
        <v>219</v>
      </c>
      <c r="D41" t="n">
        <v>260000000</v>
      </c>
      <c r="E41" t="s">
        <v>261</v>
      </c>
    </row>
    <row r="42">
      <c r="A42" t="s">
        <v>262</v>
      </c>
      <c r="B42" t="n">
        <v>0</v>
      </c>
      <c r="C42" t="s">
        <v>219</v>
      </c>
      <c r="D42" t="n">
        <v>0</v>
      </c>
      <c r="E42"/>
    </row>
    <row r="43">
      <c r="A43" t="s">
        <v>263</v>
      </c>
      <c r="B43" t="n">
        <v>0</v>
      </c>
      <c r="C43" t="s">
        <v>219</v>
      </c>
      <c r="D43" t="n">
        <v>0</v>
      </c>
      <c r="E43"/>
    </row>
    <row r="44">
      <c r="A44" t="s">
        <v>264</v>
      </c>
      <c r="B44" t="n">
        <v>27870000</v>
      </c>
      <c r="C44" t="s">
        <v>219</v>
      </c>
      <c r="D44" t="n">
        <v>560000000</v>
      </c>
      <c r="E44" t="s">
        <v>265</v>
      </c>
    </row>
    <row r="45">
      <c r="A45" t="s">
        <v>266</v>
      </c>
      <c r="B45" t="n">
        <v>8220000</v>
      </c>
      <c r="C45" t="s">
        <v>219</v>
      </c>
      <c r="D45" t="n">
        <v>430000000</v>
      </c>
      <c r="E45" t="s">
        <v>267</v>
      </c>
    </row>
    <row r="46">
      <c r="A46" t="s">
        <v>268</v>
      </c>
      <c r="B46" t="n">
        <v>930000</v>
      </c>
      <c r="C46" t="s">
        <v>219</v>
      </c>
      <c r="D46" t="n">
        <v>40000000</v>
      </c>
      <c r="E46"/>
    </row>
    <row r="47">
      <c r="A47" t="s">
        <v>269</v>
      </c>
      <c r="B47" t="n">
        <v>0</v>
      </c>
      <c r="C47" t="s">
        <v>219</v>
      </c>
      <c r="D47" t="n">
        <v>0</v>
      </c>
      <c r="E47"/>
    </row>
    <row r="48">
      <c r="A48" t="s">
        <v>270</v>
      </c>
      <c r="B48" t="n">
        <v>50110000</v>
      </c>
      <c r="C48" t="s">
        <v>219</v>
      </c>
      <c r="D48" t="n">
        <v>3000000000</v>
      </c>
      <c r="E48" t="s">
        <v>271</v>
      </c>
    </row>
    <row r="49">
      <c r="A49" t="s">
        <v>272</v>
      </c>
      <c r="B49" t="n">
        <v>0</v>
      </c>
      <c r="C49" t="s">
        <v>219</v>
      </c>
      <c r="D49" t="n">
        <v>0</v>
      </c>
      <c r="E49"/>
    </row>
    <row r="50">
      <c r="A50" t="s">
        <v>273</v>
      </c>
      <c r="B50" t="n">
        <v>0</v>
      </c>
      <c r="C50" t="s">
        <v>219</v>
      </c>
      <c r="D50" t="n">
        <v>0</v>
      </c>
      <c r="E50"/>
    </row>
    <row r="51">
      <c r="A51" t="s">
        <v>274</v>
      </c>
      <c r="B51" t="n">
        <v>0</v>
      </c>
      <c r="C51" t="s">
        <v>219</v>
      </c>
      <c r="D51" t="n">
        <v>0</v>
      </c>
      <c r="E51"/>
    </row>
    <row r="52">
      <c r="A52" t="s">
        <v>275</v>
      </c>
      <c r="B52" t="n">
        <v>400000</v>
      </c>
      <c r="C52" t="s">
        <v>219</v>
      </c>
      <c r="D52" t="n">
        <v>22000000</v>
      </c>
      <c r="E52" t="s">
        <v>276</v>
      </c>
    </row>
    <row r="53">
      <c r="A53" t="s">
        <v>277</v>
      </c>
      <c r="B53" t="n">
        <v>22820000</v>
      </c>
      <c r="C53" t="s">
        <v>219</v>
      </c>
      <c r="D53" t="n">
        <v>500000000</v>
      </c>
      <c r="E53" t="s">
        <v>244</v>
      </c>
    </row>
    <row r="54">
      <c r="A54" t="s">
        <v>278</v>
      </c>
      <c r="B54" t="n">
        <v>12810000</v>
      </c>
      <c r="C54" t="s">
        <v>219</v>
      </c>
      <c r="D54" t="n">
        <v>380000000</v>
      </c>
      <c r="E54" t="s">
        <v>279</v>
      </c>
    </row>
    <row r="55">
      <c r="A55" t="s">
        <v>280</v>
      </c>
      <c r="B55" t="n">
        <v>0</v>
      </c>
      <c r="C55" t="s">
        <v>219</v>
      </c>
      <c r="D55" t="n">
        <v>0</v>
      </c>
      <c r="E55"/>
    </row>
    <row r="56">
      <c r="A56" t="s">
        <v>281</v>
      </c>
      <c r="B56" t="n">
        <v>11480000</v>
      </c>
      <c r="C56" t="s">
        <v>219</v>
      </c>
      <c r="D56" t="n">
        <v>620000000</v>
      </c>
      <c r="E56" t="s">
        <v>282</v>
      </c>
    </row>
    <row r="57">
      <c r="A57" t="s">
        <v>283</v>
      </c>
      <c r="B57" t="n">
        <v>3050000</v>
      </c>
      <c r="C57" t="s">
        <v>219</v>
      </c>
      <c r="D57" t="n">
        <v>90000000</v>
      </c>
      <c r="E57" t="s">
        <v>284</v>
      </c>
    </row>
    <row r="58">
      <c r="A58" t="s">
        <v>285</v>
      </c>
      <c r="B58" t="n">
        <v>93320000</v>
      </c>
      <c r="C58" t="s">
        <v>219</v>
      </c>
      <c r="D58" t="n">
        <v>5050000000</v>
      </c>
      <c r="E58" t="s">
        <v>286</v>
      </c>
    </row>
    <row r="59">
      <c r="A59" t="s">
        <v>287</v>
      </c>
      <c r="B59" t="n">
        <v>0</v>
      </c>
      <c r="C59" t="s">
        <v>219</v>
      </c>
      <c r="D59" t="n">
        <v>0</v>
      </c>
      <c r="E59"/>
    </row>
    <row r="60">
      <c r="A60" t="s">
        <v>288</v>
      </c>
      <c r="B60" t="n">
        <v>276040000</v>
      </c>
      <c r="C60" t="s">
        <v>219</v>
      </c>
      <c r="D60" t="n">
        <v>3690000000</v>
      </c>
      <c r="E60" t="s">
        <v>289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290</v>
      </c>
    </row>
    <row r="2">
      <c r="A2" t="s">
        <v>291</v>
      </c>
    </row>
    <row r="3">
      <c r="A3" t="s">
        <v>292</v>
      </c>
    </row>
    <row r="4">
      <c r="A4" t="s">
        <v>1</v>
      </c>
    </row>
    <row r="5">
      <c r="A5" t="s">
        <v>293</v>
      </c>
    </row>
    <row r="6">
      <c r="A6" t="s">
        <v>294</v>
      </c>
    </row>
    <row r="7">
      <c r="A7" t="s">
        <v>295</v>
      </c>
    </row>
    <row r="8">
      <c r="A8" t="s">
        <v>296</v>
      </c>
    </row>
    <row r="9">
      <c r="A9" t="s">
        <v>297</v>
      </c>
    </row>
    <row r="10">
      <c r="A10" t="s">
        <v>298</v>
      </c>
    </row>
    <row r="11">
      <c r="A11" t="s">
        <v>299</v>
      </c>
    </row>
    <row r="12">
      <c r="A12" t="s">
        <v>300</v>
      </c>
    </row>
    <row r="13">
      <c r="A13" t="s">
        <v>1</v>
      </c>
    </row>
    <row r="14">
      <c r="A14" t="s">
        <v>301</v>
      </c>
    </row>
    <row r="15">
      <c r="A15" t="s">
        <v>1</v>
      </c>
    </row>
    <row r="17">
      <c r="A17" t="s">
        <v>302</v>
      </c>
    </row>
    <row r="18">
      <c r="A18" t="s">
        <v>303</v>
      </c>
    </row>
    <row r="20">
      <c r="A20" t="s">
        <v>304</v>
      </c>
    </row>
    <row r="21">
      <c r="A21" t="s">
        <v>305</v>
      </c>
    </row>
    <row r="23">
      <c r="A23" t="s">
        <v>306</v>
      </c>
    </row>
    <row r="25">
      <c r="A25" t="s">
        <v>213</v>
      </c>
      <c r="B25" t="s">
        <v>307</v>
      </c>
      <c r="C25" t="s">
        <v>308</v>
      </c>
      <c r="D25" t="s">
        <v>309</v>
      </c>
      <c r="E25" t="s">
        <v>310</v>
      </c>
    </row>
    <row r="26">
      <c r="A26" t="s">
        <v>221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218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225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223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226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227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229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231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230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232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233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234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239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235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236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238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240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241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243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248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246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245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249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250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253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251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254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263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264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256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258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259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260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257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262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266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268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269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270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272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273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274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275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277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278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281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280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283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287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285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288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74.71" hidden="0" customWidth="1"/>
  </cols>
  <sheetData>
    <row r="1">
      <c r="A1" t="s">
        <v>311</v>
      </c>
    </row>
    <row r="2">
      <c r="A2" t="s">
        <v>1</v>
      </c>
    </row>
    <row r="3">
      <c r="A3" t="s">
        <v>312</v>
      </c>
    </row>
    <row r="4">
      <c r="A4" t="s">
        <v>313</v>
      </c>
    </row>
    <row r="5">
      <c r="A5" t="s">
        <v>314</v>
      </c>
    </row>
    <row r="6">
      <c r="A6" t="s">
        <v>1</v>
      </c>
    </row>
    <row r="8">
      <c r="A8" t="s">
        <v>315</v>
      </c>
      <c r="B8" t="s">
        <v>316</v>
      </c>
      <c r="C8" t="s">
        <v>317</v>
      </c>
      <c r="D8" t="s">
        <v>318</v>
      </c>
      <c r="E8" t="s">
        <v>319</v>
      </c>
      <c r="F8" t="s">
        <v>320</v>
      </c>
      <c r="G8" t="s">
        <v>321</v>
      </c>
    </row>
    <row r="9">
      <c r="A9" t="s">
        <v>126</v>
      </c>
      <c r="B9" t="s">
        <v>322</v>
      </c>
      <c r="C9" t="s">
        <v>323</v>
      </c>
      <c r="D9" t="s">
        <v>324</v>
      </c>
      <c r="E9" t="n">
        <v>1</v>
      </c>
      <c r="F9"/>
      <c r="G9"/>
    </row>
    <row r="10">
      <c r="A10" t="s">
        <v>127</v>
      </c>
      <c r="B10" t="s">
        <v>325</v>
      </c>
      <c r="C10" t="s">
        <v>323</v>
      </c>
      <c r="D10" t="s">
        <v>324</v>
      </c>
      <c r="E10" t="n">
        <v>1</v>
      </c>
      <c r="F10"/>
      <c r="G10"/>
    </row>
    <row r="11">
      <c r="A11" t="s">
        <v>128</v>
      </c>
      <c r="B11" t="s">
        <v>326</v>
      </c>
      <c r="C11" t="s">
        <v>327</v>
      </c>
      <c r="D11" t="s">
        <v>328</v>
      </c>
      <c r="E11" t="n">
        <v>1</v>
      </c>
      <c r="F11"/>
      <c r="G11"/>
    </row>
    <row r="12">
      <c r="A12" t="s">
        <v>130</v>
      </c>
      <c r="B12" t="s">
        <v>329</v>
      </c>
      <c r="C12" t="s">
        <v>330</v>
      </c>
      <c r="D12" t="s">
        <v>331</v>
      </c>
      <c r="E12" t="n">
        <v>1</v>
      </c>
      <c r="F12"/>
      <c r="G12"/>
    </row>
    <row r="13">
      <c r="A13" t="s">
        <v>131</v>
      </c>
      <c r="B13" t="s">
        <v>332</v>
      </c>
      <c r="C13" t="s">
        <v>333</v>
      </c>
      <c r="D13" t="s">
        <v>334</v>
      </c>
      <c r="E13" t="n">
        <v>0.72</v>
      </c>
      <c r="F13" t="s">
        <v>335</v>
      </c>
      <c r="G13"/>
    </row>
    <row r="14">
      <c r="A14" t="s">
        <v>131</v>
      </c>
      <c r="B14" t="s">
        <v>332</v>
      </c>
      <c r="C14" t="s">
        <v>336</v>
      </c>
      <c r="D14" t="s">
        <v>337</v>
      </c>
      <c r="E14" t="n">
        <v>0.2</v>
      </c>
      <c r="F14" t="s">
        <v>338</v>
      </c>
      <c r="G14"/>
    </row>
    <row r="15">
      <c r="A15" t="s">
        <v>131</v>
      </c>
      <c r="B15" t="s">
        <v>332</v>
      </c>
      <c r="C15" t="s">
        <v>339</v>
      </c>
      <c r="D15" t="s">
        <v>340</v>
      </c>
      <c r="E15" t="n">
        <v>0.08</v>
      </c>
      <c r="F15" t="s">
        <v>341</v>
      </c>
      <c r="G15"/>
    </row>
    <row r="16">
      <c r="A16" t="s">
        <v>132</v>
      </c>
      <c r="B16" t="s">
        <v>342</v>
      </c>
      <c r="C16" t="s">
        <v>343</v>
      </c>
      <c r="D16" t="s">
        <v>342</v>
      </c>
      <c r="E16" t="n">
        <v>1</v>
      </c>
      <c r="F16"/>
      <c r="G16"/>
    </row>
    <row r="17">
      <c r="A17" t="s">
        <v>144</v>
      </c>
      <c r="B17" t="s">
        <v>344</v>
      </c>
      <c r="C17" t="s">
        <v>345</v>
      </c>
      <c r="D17" t="s">
        <v>346</v>
      </c>
      <c r="E17" t="n">
        <v>1</v>
      </c>
      <c r="F17"/>
      <c r="G17"/>
    </row>
    <row r="18">
      <c r="A18" t="s">
        <v>145</v>
      </c>
      <c r="B18" t="s">
        <v>347</v>
      </c>
      <c r="C18" t="s">
        <v>348</v>
      </c>
      <c r="D18" t="s">
        <v>349</v>
      </c>
      <c r="E18" t="n">
        <v>1</v>
      </c>
      <c r="F18"/>
      <c r="G18"/>
    </row>
    <row r="19">
      <c r="A19" t="s">
        <v>146</v>
      </c>
      <c r="B19" t="s">
        <v>350</v>
      </c>
      <c r="C19" t="s">
        <v>348</v>
      </c>
      <c r="D19" t="s">
        <v>349</v>
      </c>
      <c r="E19" t="n">
        <v>1</v>
      </c>
      <c r="F19"/>
      <c r="G19"/>
    </row>
    <row r="20">
      <c r="A20" t="s">
        <v>133</v>
      </c>
      <c r="B20" t="s">
        <v>351</v>
      </c>
      <c r="C20" t="s">
        <v>352</v>
      </c>
      <c r="D20" t="s">
        <v>353</v>
      </c>
      <c r="E20" t="n">
        <v>1</v>
      </c>
      <c r="F20"/>
      <c r="G20"/>
    </row>
    <row r="21">
      <c r="A21" t="s">
        <v>147</v>
      </c>
      <c r="B21" t="s">
        <v>354</v>
      </c>
      <c r="C21" t="s">
        <v>355</v>
      </c>
      <c r="D21" t="s">
        <v>356</v>
      </c>
      <c r="E21" t="n">
        <v>1</v>
      </c>
      <c r="F21"/>
      <c r="G21"/>
    </row>
    <row r="22">
      <c r="A22" t="s">
        <v>148</v>
      </c>
      <c r="B22" t="s">
        <v>357</v>
      </c>
      <c r="C22" t="s">
        <v>355</v>
      </c>
      <c r="D22" t="s">
        <v>356</v>
      </c>
      <c r="E22" t="n">
        <v>1</v>
      </c>
      <c r="F22"/>
      <c r="G22"/>
    </row>
    <row r="23">
      <c r="A23" t="s">
        <v>149</v>
      </c>
      <c r="B23" t="s">
        <v>358</v>
      </c>
      <c r="C23" t="s">
        <v>359</v>
      </c>
      <c r="D23" t="s">
        <v>360</v>
      </c>
      <c r="E23" t="n">
        <v>0.961</v>
      </c>
      <c r="F23" t="s">
        <v>361</v>
      </c>
      <c r="G23"/>
    </row>
    <row r="24">
      <c r="A24" t="s">
        <v>149</v>
      </c>
      <c r="B24" t="s">
        <v>358</v>
      </c>
      <c r="C24" t="s">
        <v>362</v>
      </c>
      <c r="D24" t="s">
        <v>363</v>
      </c>
      <c r="E24" t="n">
        <v>0.039</v>
      </c>
      <c r="F24" t="s">
        <v>364</v>
      </c>
      <c r="G24"/>
    </row>
    <row r="25">
      <c r="A25" t="s">
        <v>151</v>
      </c>
      <c r="B25" t="s">
        <v>365</v>
      </c>
      <c r="C25" t="s">
        <v>131</v>
      </c>
      <c r="D25" t="s">
        <v>366</v>
      </c>
      <c r="E25" t="n">
        <v>1</v>
      </c>
      <c r="F25"/>
      <c r="G25"/>
    </row>
    <row r="26">
      <c r="A26" t="s">
        <v>136</v>
      </c>
      <c r="B26" t="s">
        <v>367</v>
      </c>
      <c r="C26" t="s">
        <v>368</v>
      </c>
      <c r="D26" t="s">
        <v>367</v>
      </c>
      <c r="E26" t="n">
        <v>1</v>
      </c>
      <c r="F26"/>
      <c r="G26"/>
    </row>
    <row r="27">
      <c r="A27" t="s">
        <v>137</v>
      </c>
      <c r="B27" t="s">
        <v>369</v>
      </c>
      <c r="C27" t="s">
        <v>370</v>
      </c>
      <c r="D27" t="s">
        <v>371</v>
      </c>
      <c r="E27" t="n">
        <v>1</v>
      </c>
      <c r="F27"/>
      <c r="G27"/>
    </row>
    <row r="28">
      <c r="A28" t="s">
        <v>138</v>
      </c>
      <c r="B28" t="s">
        <v>372</v>
      </c>
      <c r="C28" t="s">
        <v>373</v>
      </c>
      <c r="D28" t="s">
        <v>374</v>
      </c>
      <c r="E28" t="n">
        <v>1</v>
      </c>
      <c r="F28"/>
      <c r="G28"/>
    </row>
    <row r="29">
      <c r="A29" t="s">
        <v>139</v>
      </c>
      <c r="B29" t="s">
        <v>375</v>
      </c>
      <c r="C29" t="s">
        <v>376</v>
      </c>
      <c r="D29" t="s">
        <v>377</v>
      </c>
      <c r="E29" t="n">
        <v>1</v>
      </c>
      <c r="F29"/>
      <c r="G29"/>
    </row>
    <row r="30">
      <c r="A30" t="s">
        <v>140</v>
      </c>
      <c r="B30" t="s">
        <v>378</v>
      </c>
      <c r="C30" t="s">
        <v>379</v>
      </c>
      <c r="D30" t="s">
        <v>380</v>
      </c>
      <c r="E30" t="n">
        <v>1</v>
      </c>
      <c r="F30"/>
      <c r="G30"/>
    </row>
    <row r="31">
      <c r="A31" t="s">
        <v>141</v>
      </c>
      <c r="B31" t="s">
        <v>381</v>
      </c>
      <c r="C31" t="s">
        <v>382</v>
      </c>
      <c r="D31" t="s">
        <v>383</v>
      </c>
      <c r="E31" t="n">
        <v>1</v>
      </c>
      <c r="F31"/>
      <c r="G31"/>
    </row>
    <row r="32">
      <c r="A32" t="s">
        <v>142</v>
      </c>
      <c r="B32" t="s">
        <v>384</v>
      </c>
      <c r="C32" t="s">
        <v>385</v>
      </c>
      <c r="D32" t="s">
        <v>386</v>
      </c>
      <c r="E32" t="n">
        <v>1</v>
      </c>
      <c r="F32"/>
      <c r="G32"/>
    </row>
    <row r="33">
      <c r="A33" t="s">
        <v>143</v>
      </c>
      <c r="B33" t="s">
        <v>387</v>
      </c>
      <c r="C33" t="s">
        <v>385</v>
      </c>
      <c r="D33" t="s">
        <v>386</v>
      </c>
      <c r="E33" t="n">
        <v>1</v>
      </c>
      <c r="F33"/>
      <c r="G33"/>
    </row>
    <row r="34">
      <c r="A34" t="s">
        <v>152</v>
      </c>
      <c r="B34" t="s">
        <v>388</v>
      </c>
      <c r="C34" t="s">
        <v>389</v>
      </c>
      <c r="D34" t="s">
        <v>390</v>
      </c>
      <c r="E34" t="n">
        <v>1</v>
      </c>
      <c r="F34"/>
      <c r="G34"/>
    </row>
    <row r="35">
      <c r="A35" t="s">
        <v>153</v>
      </c>
      <c r="B35" t="s">
        <v>391</v>
      </c>
      <c r="C35" t="s">
        <v>389</v>
      </c>
      <c r="D35" t="s">
        <v>390</v>
      </c>
      <c r="E35" t="n">
        <v>1</v>
      </c>
      <c r="F35"/>
      <c r="G35"/>
    </row>
    <row r="36">
      <c r="A36" t="s">
        <v>154</v>
      </c>
      <c r="B36" t="s">
        <v>392</v>
      </c>
      <c r="C36" t="s">
        <v>389</v>
      </c>
      <c r="D36" t="s">
        <v>390</v>
      </c>
      <c r="E36" t="n">
        <v>1</v>
      </c>
      <c r="F36"/>
      <c r="G36"/>
    </row>
    <row r="37">
      <c r="A37" t="s">
        <v>155</v>
      </c>
      <c r="B37" t="s">
        <v>393</v>
      </c>
      <c r="C37" t="s">
        <v>389</v>
      </c>
      <c r="D37" t="s">
        <v>390</v>
      </c>
      <c r="E37" t="n">
        <v>1</v>
      </c>
      <c r="F37"/>
      <c r="G37"/>
    </row>
    <row r="38">
      <c r="A38" t="s">
        <v>156</v>
      </c>
      <c r="B38" t="s">
        <v>394</v>
      </c>
      <c r="C38" t="s">
        <v>389</v>
      </c>
      <c r="D38" t="s">
        <v>390</v>
      </c>
      <c r="E38" t="n">
        <v>1</v>
      </c>
      <c r="F38"/>
      <c r="G38"/>
    </row>
    <row r="39">
      <c r="A39" t="s">
        <v>157</v>
      </c>
      <c r="B39" t="s">
        <v>395</v>
      </c>
      <c r="C39" t="s">
        <v>396</v>
      </c>
      <c r="D39" t="s">
        <v>397</v>
      </c>
      <c r="E39" t="n">
        <v>1</v>
      </c>
      <c r="F39"/>
      <c r="G39"/>
    </row>
    <row r="40">
      <c r="A40" t="s">
        <v>158</v>
      </c>
      <c r="B40" t="s">
        <v>398</v>
      </c>
      <c r="C40" t="s">
        <v>396</v>
      </c>
      <c r="D40" t="s">
        <v>397</v>
      </c>
      <c r="E40" t="n">
        <v>1</v>
      </c>
      <c r="F40"/>
      <c r="G40"/>
    </row>
    <row r="41">
      <c r="A41" t="s">
        <v>159</v>
      </c>
      <c r="B41" t="s">
        <v>399</v>
      </c>
      <c r="C41" t="s">
        <v>396</v>
      </c>
      <c r="D41" t="s">
        <v>397</v>
      </c>
      <c r="E41" t="n">
        <v>1</v>
      </c>
      <c r="F41"/>
      <c r="G41"/>
    </row>
    <row r="42">
      <c r="A42" t="s">
        <v>160</v>
      </c>
      <c r="B42" t="s">
        <v>400</v>
      </c>
      <c r="C42" t="s">
        <v>396</v>
      </c>
      <c r="D42" t="s">
        <v>397</v>
      </c>
      <c r="E42" t="n">
        <v>1</v>
      </c>
      <c r="F42"/>
      <c r="G42"/>
    </row>
    <row r="43">
      <c r="A43" t="s">
        <v>161</v>
      </c>
      <c r="B43" t="s">
        <v>401</v>
      </c>
      <c r="C43" t="s">
        <v>396</v>
      </c>
      <c r="D43" t="s">
        <v>397</v>
      </c>
      <c r="E43" t="n">
        <v>1</v>
      </c>
      <c r="F43"/>
      <c r="G43"/>
    </row>
    <row r="44">
      <c r="A44" t="s">
        <v>162</v>
      </c>
      <c r="B44" t="s">
        <v>402</v>
      </c>
      <c r="C44" t="s">
        <v>336</v>
      </c>
      <c r="D44" t="s">
        <v>403</v>
      </c>
      <c r="E44" t="n">
        <v>1</v>
      </c>
      <c r="F44" t="s">
        <v>404</v>
      </c>
      <c r="G44"/>
    </row>
    <row r="45">
      <c r="A45" t="s">
        <v>163</v>
      </c>
      <c r="B45" t="s">
        <v>405</v>
      </c>
      <c r="C45" t="s">
        <v>396</v>
      </c>
      <c r="D45" t="s">
        <v>397</v>
      </c>
      <c r="E45" t="n">
        <v>1</v>
      </c>
      <c r="F45"/>
      <c r="G45"/>
    </row>
    <row r="46">
      <c r="A46" t="s">
        <v>164</v>
      </c>
      <c r="B46" t="s">
        <v>406</v>
      </c>
      <c r="C46" t="s">
        <v>396</v>
      </c>
      <c r="D46" t="s">
        <v>397</v>
      </c>
      <c r="E46" t="n">
        <v>1</v>
      </c>
      <c r="F46"/>
      <c r="G46"/>
    </row>
    <row r="47">
      <c r="A47" t="s">
        <v>165</v>
      </c>
      <c r="B47" t="s">
        <v>407</v>
      </c>
      <c r="C47" t="s">
        <v>408</v>
      </c>
      <c r="D47" t="s">
        <v>409</v>
      </c>
      <c r="E47" t="n">
        <v>1</v>
      </c>
      <c r="F47"/>
      <c r="G47"/>
    </row>
    <row r="48">
      <c r="A48" t="s">
        <v>166</v>
      </c>
      <c r="B48" t="s">
        <v>410</v>
      </c>
      <c r="C48" t="s">
        <v>408</v>
      </c>
      <c r="D48" t="s">
        <v>409</v>
      </c>
      <c r="E48" t="n">
        <v>1</v>
      </c>
      <c r="F48"/>
      <c r="G48"/>
    </row>
    <row r="49">
      <c r="A49" t="s">
        <v>167</v>
      </c>
      <c r="B49" t="s">
        <v>411</v>
      </c>
      <c r="C49" t="s">
        <v>408</v>
      </c>
      <c r="D49" t="s">
        <v>409</v>
      </c>
      <c r="E49" t="n">
        <v>0.25</v>
      </c>
      <c r="F49" t="s">
        <v>412</v>
      </c>
      <c r="G49"/>
    </row>
    <row r="50">
      <c r="A50" t="s">
        <v>167</v>
      </c>
      <c r="B50" t="s">
        <v>411</v>
      </c>
      <c r="C50" t="s">
        <v>182</v>
      </c>
      <c r="D50" t="s">
        <v>413</v>
      </c>
      <c r="E50" t="n">
        <v>0.75</v>
      </c>
      <c r="F50"/>
      <c r="G50"/>
    </row>
    <row r="51">
      <c r="A51" t="s">
        <v>168</v>
      </c>
      <c r="B51" t="s">
        <v>414</v>
      </c>
      <c r="C51" t="s">
        <v>415</v>
      </c>
      <c r="D51" t="s">
        <v>416</v>
      </c>
      <c r="E51" t="n">
        <v>1</v>
      </c>
      <c r="F51"/>
      <c r="G51"/>
    </row>
    <row r="52">
      <c r="A52" t="s">
        <v>169</v>
      </c>
      <c r="B52" t="s">
        <v>417</v>
      </c>
      <c r="C52" t="s">
        <v>418</v>
      </c>
      <c r="D52" t="s">
        <v>419</v>
      </c>
      <c r="E52" t="n">
        <v>1</v>
      </c>
      <c r="F52"/>
      <c r="G52"/>
    </row>
    <row r="53">
      <c r="A53" t="s">
        <v>170</v>
      </c>
      <c r="B53" t="s">
        <v>420</v>
      </c>
      <c r="C53" t="s">
        <v>418</v>
      </c>
      <c r="D53" t="s">
        <v>419</v>
      </c>
      <c r="E53" t="n">
        <v>1</v>
      </c>
      <c r="F53"/>
      <c r="G53"/>
    </row>
    <row r="54">
      <c r="A54" t="s">
        <v>171</v>
      </c>
      <c r="B54" t="s">
        <v>421</v>
      </c>
      <c r="C54" t="s">
        <v>418</v>
      </c>
      <c r="D54" t="s">
        <v>419</v>
      </c>
      <c r="E54" t="n">
        <v>1</v>
      </c>
      <c r="F54"/>
      <c r="G54"/>
    </row>
    <row r="55">
      <c r="A55" t="s">
        <v>172</v>
      </c>
      <c r="B55" t="s">
        <v>422</v>
      </c>
      <c r="C55" t="s">
        <v>418</v>
      </c>
      <c r="D55" t="s">
        <v>419</v>
      </c>
      <c r="E55" t="n">
        <v>1</v>
      </c>
      <c r="F55"/>
      <c r="G55"/>
    </row>
    <row r="56">
      <c r="A56" t="s">
        <v>173</v>
      </c>
      <c r="B56" t="s">
        <v>423</v>
      </c>
      <c r="C56" t="s">
        <v>424</v>
      </c>
      <c r="D56" t="s">
        <v>425</v>
      </c>
      <c r="E56" t="n">
        <v>1</v>
      </c>
      <c r="F56"/>
      <c r="G56"/>
    </row>
    <row r="57">
      <c r="A57" t="s">
        <v>174</v>
      </c>
      <c r="B57" t="s">
        <v>426</v>
      </c>
      <c r="C57" t="s">
        <v>424</v>
      </c>
      <c r="D57" t="s">
        <v>425</v>
      </c>
      <c r="E57" t="n">
        <v>1</v>
      </c>
      <c r="F57"/>
      <c r="G57"/>
    </row>
    <row r="58">
      <c r="A58" t="s">
        <v>175</v>
      </c>
      <c r="B58" t="s">
        <v>427</v>
      </c>
      <c r="C58" t="s">
        <v>428</v>
      </c>
      <c r="D58" t="s">
        <v>429</v>
      </c>
      <c r="E58" t="n">
        <v>1</v>
      </c>
      <c r="F58" t="s">
        <v>430</v>
      </c>
      <c r="G58"/>
    </row>
    <row r="59">
      <c r="A59" t="s">
        <v>176</v>
      </c>
      <c r="B59" t="s">
        <v>431</v>
      </c>
      <c r="C59" t="s">
        <v>428</v>
      </c>
      <c r="D59" t="s">
        <v>429</v>
      </c>
      <c r="E59" t="n">
        <v>1</v>
      </c>
      <c r="F59"/>
      <c r="G59"/>
    </row>
    <row r="60">
      <c r="A60" t="s">
        <v>178</v>
      </c>
      <c r="B60" t="s">
        <v>432</v>
      </c>
      <c r="C60" t="s">
        <v>428</v>
      </c>
      <c r="D60" t="s">
        <v>429</v>
      </c>
      <c r="E60" t="n">
        <v>1</v>
      </c>
      <c r="F60"/>
      <c r="G60"/>
    </row>
    <row r="61">
      <c r="A61" t="s">
        <v>177</v>
      </c>
      <c r="B61" t="s">
        <v>433</v>
      </c>
      <c r="C61" t="s">
        <v>415</v>
      </c>
      <c r="D61" t="s">
        <v>416</v>
      </c>
      <c r="E61" t="n">
        <v>1</v>
      </c>
      <c r="F61" t="s">
        <v>434</v>
      </c>
      <c r="G61"/>
    </row>
    <row r="62">
      <c r="A62" t="s">
        <v>179</v>
      </c>
      <c r="B62" t="s">
        <v>435</v>
      </c>
      <c r="C62" t="s">
        <v>428</v>
      </c>
      <c r="D62" t="s">
        <v>429</v>
      </c>
      <c r="E62" t="n">
        <v>1</v>
      </c>
      <c r="F62"/>
      <c r="G62"/>
    </row>
    <row r="63">
      <c r="A63" t="s">
        <v>180</v>
      </c>
      <c r="B63" t="s">
        <v>436</v>
      </c>
      <c r="C63" t="s">
        <v>428</v>
      </c>
      <c r="D63" t="s">
        <v>429</v>
      </c>
      <c r="E63" t="n">
        <v>1</v>
      </c>
      <c r="F63"/>
      <c r="G63"/>
    </row>
    <row r="64">
      <c r="A64" t="s">
        <v>181</v>
      </c>
      <c r="B64" t="s">
        <v>437</v>
      </c>
      <c r="C64" t="s">
        <v>339</v>
      </c>
      <c r="D64" t="s">
        <v>438</v>
      </c>
      <c r="E64" t="n">
        <v>1</v>
      </c>
      <c r="F64"/>
      <c r="G64"/>
    </row>
    <row r="65">
      <c r="A65" t="s">
        <v>182</v>
      </c>
      <c r="B65" t="s">
        <v>439</v>
      </c>
      <c r="C65" t="s">
        <v>440</v>
      </c>
      <c r="D65" t="s">
        <v>441</v>
      </c>
      <c r="E65" t="n">
        <v>1</v>
      </c>
      <c r="F65"/>
      <c r="G65"/>
    </row>
    <row r="66">
      <c r="A66" t="s">
        <v>183</v>
      </c>
      <c r="B66" t="s">
        <v>442</v>
      </c>
      <c r="C66" t="s">
        <v>443</v>
      </c>
      <c r="D66" t="s">
        <v>444</v>
      </c>
      <c r="E66" t="n">
        <v>1</v>
      </c>
      <c r="F66"/>
      <c r="G66"/>
    </row>
    <row r="67">
      <c r="A67" t="s">
        <v>184</v>
      </c>
      <c r="B67" t="s">
        <v>445</v>
      </c>
      <c r="C67" t="s">
        <v>443</v>
      </c>
      <c r="D67" t="s">
        <v>444</v>
      </c>
      <c r="E67" t="n">
        <v>1</v>
      </c>
      <c r="F67"/>
      <c r="G67"/>
    </row>
    <row r="68">
      <c r="A68" t="s">
        <v>185</v>
      </c>
      <c r="B68" t="s">
        <v>446</v>
      </c>
      <c r="C68" t="s">
        <v>443</v>
      </c>
      <c r="D68" t="s">
        <v>444</v>
      </c>
      <c r="E68" t="n">
        <v>1</v>
      </c>
      <c r="F68"/>
      <c r="G68"/>
    </row>
    <row r="69">
      <c r="A69" t="s">
        <v>186</v>
      </c>
      <c r="B69" t="s">
        <v>447</v>
      </c>
      <c r="C69" t="s">
        <v>443</v>
      </c>
      <c r="D69" t="s">
        <v>444</v>
      </c>
      <c r="E69" t="n">
        <v>1</v>
      </c>
      <c r="F69"/>
      <c r="G69"/>
    </row>
    <row r="70">
      <c r="A70" t="s">
        <v>187</v>
      </c>
      <c r="B70" t="s">
        <v>448</v>
      </c>
      <c r="C70" t="s">
        <v>449</v>
      </c>
      <c r="D70" t="s">
        <v>450</v>
      </c>
      <c r="E70" t="n">
        <v>1</v>
      </c>
      <c r="F70"/>
      <c r="G70"/>
    </row>
    <row r="71">
      <c r="A71" t="s">
        <v>188</v>
      </c>
      <c r="B71" t="s">
        <v>451</v>
      </c>
      <c r="C71" t="s">
        <v>449</v>
      </c>
      <c r="D71" t="s">
        <v>450</v>
      </c>
      <c r="E71" t="n">
        <v>1</v>
      </c>
      <c r="F71"/>
      <c r="G71"/>
    </row>
    <row r="72">
      <c r="A72" t="s">
        <v>189</v>
      </c>
      <c r="B72" t="s">
        <v>452</v>
      </c>
      <c r="C72" t="s">
        <v>453</v>
      </c>
      <c r="D72" t="s">
        <v>454</v>
      </c>
      <c r="E72" t="n">
        <v>1</v>
      </c>
      <c r="F72"/>
      <c r="G72"/>
    </row>
    <row r="73">
      <c r="A73" t="s">
        <v>190</v>
      </c>
      <c r="B73" t="s">
        <v>455</v>
      </c>
      <c r="C73" t="s">
        <v>453</v>
      </c>
      <c r="D73" t="s">
        <v>454</v>
      </c>
      <c r="E73" t="n">
        <v>1</v>
      </c>
      <c r="F73"/>
      <c r="G73"/>
    </row>
    <row r="74">
      <c r="A74" t="s">
        <v>191</v>
      </c>
      <c r="B74" t="s">
        <v>456</v>
      </c>
      <c r="C74" t="s">
        <v>449</v>
      </c>
      <c r="D74" t="s">
        <v>450</v>
      </c>
      <c r="E74" t="n">
        <v>1</v>
      </c>
      <c r="F74"/>
      <c r="G74"/>
    </row>
    <row r="75">
      <c r="A75" t="s">
        <v>192</v>
      </c>
      <c r="B75" t="s">
        <v>457</v>
      </c>
      <c r="C75" t="s">
        <v>458</v>
      </c>
      <c r="D75" t="s">
        <v>459</v>
      </c>
      <c r="E75" t="n">
        <v>1</v>
      </c>
      <c r="F75"/>
      <c r="G75"/>
    </row>
    <row r="76">
      <c r="A76" t="s">
        <v>193</v>
      </c>
      <c r="B76" t="s">
        <v>460</v>
      </c>
      <c r="C76" t="s">
        <v>458</v>
      </c>
      <c r="D76" t="s">
        <v>459</v>
      </c>
      <c r="E76" t="n">
        <v>1</v>
      </c>
      <c r="F76"/>
      <c r="G76"/>
    </row>
    <row r="77">
      <c r="A77" t="s">
        <v>194</v>
      </c>
      <c r="B77" t="s">
        <v>461</v>
      </c>
      <c r="C77" t="s">
        <v>458</v>
      </c>
      <c r="D77" t="s">
        <v>459</v>
      </c>
      <c r="E77" t="n">
        <v>1</v>
      </c>
      <c r="F77"/>
      <c r="G77"/>
    </row>
    <row r="78">
      <c r="A78" t="s">
        <v>195</v>
      </c>
      <c r="B78" t="s">
        <v>462</v>
      </c>
      <c r="C78" t="s">
        <v>458</v>
      </c>
      <c r="D78" t="s">
        <v>459</v>
      </c>
      <c r="E78" t="n">
        <v>1</v>
      </c>
      <c r="F78"/>
      <c r="G78"/>
    </row>
    <row r="79">
      <c r="A79" t="s">
        <v>196</v>
      </c>
      <c r="B79" t="s">
        <v>463</v>
      </c>
      <c r="C79" t="s">
        <v>458</v>
      </c>
      <c r="D79" t="s">
        <v>459</v>
      </c>
      <c r="E79" t="n">
        <v>1</v>
      </c>
      <c r="F79"/>
      <c r="G79"/>
    </row>
    <row r="80">
      <c r="A80" t="s">
        <v>129</v>
      </c>
      <c r="B80" t="s">
        <v>464</v>
      </c>
      <c r="C80" t="s">
        <v>465</v>
      </c>
      <c r="D80" t="s">
        <v>466</v>
      </c>
      <c r="E80" t="n">
        <v>0.0732507051791752</v>
      </c>
      <c r="F80"/>
      <c r="G80" t="s">
        <v>467</v>
      </c>
    </row>
    <row r="81">
      <c r="A81" t="s">
        <v>129</v>
      </c>
      <c r="B81" t="s">
        <v>464</v>
      </c>
      <c r="C81" t="s">
        <v>468</v>
      </c>
      <c r="D81" t="s">
        <v>469</v>
      </c>
      <c r="E81" t="n">
        <v>0.926749294820825</v>
      </c>
      <c r="F81"/>
      <c r="G81" t="s">
        <v>467</v>
      </c>
    </row>
    <row r="82">
      <c r="A82" t="s">
        <v>134</v>
      </c>
      <c r="B82" t="s">
        <v>470</v>
      </c>
      <c r="C82" t="s">
        <v>471</v>
      </c>
      <c r="D82" t="s">
        <v>472</v>
      </c>
      <c r="E82" t="n">
        <v>0.25</v>
      </c>
      <c r="F82"/>
      <c r="G82" t="s">
        <v>473</v>
      </c>
    </row>
    <row r="83">
      <c r="A83" t="s">
        <v>134</v>
      </c>
      <c r="B83" t="s">
        <v>470</v>
      </c>
      <c r="C83" t="s">
        <v>474</v>
      </c>
      <c r="D83" t="s">
        <v>475</v>
      </c>
      <c r="E83" t="n">
        <v>0.75</v>
      </c>
      <c r="F83"/>
      <c r="G83" t="s">
        <v>473</v>
      </c>
    </row>
    <row r="84">
      <c r="A84" t="s">
        <v>135</v>
      </c>
      <c r="B84" t="s">
        <v>476</v>
      </c>
      <c r="C84" t="s">
        <v>362</v>
      </c>
      <c r="D84" t="s">
        <v>363</v>
      </c>
      <c r="E84" t="n">
        <v>0.3</v>
      </c>
      <c r="F84"/>
      <c r="G84" t="s">
        <v>477</v>
      </c>
    </row>
    <row r="85">
      <c r="A85" t="s">
        <v>135</v>
      </c>
      <c r="B85" t="s">
        <v>476</v>
      </c>
      <c r="C85" t="s">
        <v>478</v>
      </c>
      <c r="D85" t="s">
        <v>479</v>
      </c>
      <c r="E85" t="n">
        <v>0.7</v>
      </c>
      <c r="F85"/>
      <c r="G85" t="s">
        <v>477</v>
      </c>
    </row>
    <row r="86">
      <c r="A86" t="s">
        <v>150</v>
      </c>
      <c r="B86" t="s">
        <v>480</v>
      </c>
      <c r="C86" t="s">
        <v>481</v>
      </c>
      <c r="D86" t="s">
        <v>482</v>
      </c>
      <c r="E86" t="n">
        <v>0.95</v>
      </c>
      <c r="F86"/>
      <c r="G86" t="s">
        <v>483</v>
      </c>
    </row>
    <row r="87">
      <c r="A87" t="s">
        <v>150</v>
      </c>
      <c r="B87" t="s">
        <v>480</v>
      </c>
      <c r="C87" t="s">
        <v>484</v>
      </c>
      <c r="D87" t="s">
        <v>485</v>
      </c>
      <c r="E87" t="n">
        <v>0.05</v>
      </c>
      <c r="F87"/>
      <c r="G87" t="s">
        <v>483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486</v>
      </c>
    </row>
    <row r="2">
      <c r="A2" t="s">
        <v>1</v>
      </c>
    </row>
    <row r="3">
      <c r="A3" t="s">
        <v>487</v>
      </c>
    </row>
    <row r="4">
      <c r="A4" t="s">
        <v>488</v>
      </c>
    </row>
    <row r="5">
      <c r="A5" t="s">
        <v>489</v>
      </c>
    </row>
    <row r="6">
      <c r="A6" t="s">
        <v>490</v>
      </c>
    </row>
    <row r="7">
      <c r="A7" t="s">
        <v>491</v>
      </c>
    </row>
    <row r="8">
      <c r="A8" t="s">
        <v>492</v>
      </c>
    </row>
    <row r="9">
      <c r="A9" t="s">
        <v>1</v>
      </c>
    </row>
    <row r="11">
      <c r="A11" t="s">
        <v>315</v>
      </c>
      <c r="B11" t="s">
        <v>317</v>
      </c>
      <c r="C11" t="s">
        <v>319</v>
      </c>
      <c r="D11" t="s">
        <v>321</v>
      </c>
    </row>
    <row r="12">
      <c r="A12" t="n">
        <v>212</v>
      </c>
      <c r="B12" t="s">
        <v>465</v>
      </c>
      <c r="C12" t="n">
        <v>0.0732507051791752</v>
      </c>
      <c r="D12" t="s">
        <v>467</v>
      </c>
    </row>
    <row r="13">
      <c r="A13" t="n">
        <v>212</v>
      </c>
      <c r="B13" t="s">
        <v>468</v>
      </c>
      <c r="C13" t="n">
        <v>0.926749294820825</v>
      </c>
      <c r="D13" t="s">
        <v>467</v>
      </c>
    </row>
    <row r="14">
      <c r="A14" t="n">
        <v>327</v>
      </c>
      <c r="B14" t="s">
        <v>471</v>
      </c>
      <c r="C14" t="n">
        <v>0.25</v>
      </c>
      <c r="D14" t="s">
        <v>473</v>
      </c>
    </row>
    <row r="15">
      <c r="A15" t="n">
        <v>327</v>
      </c>
      <c r="B15" t="s">
        <v>474</v>
      </c>
      <c r="C15" t="n">
        <v>0.75</v>
      </c>
      <c r="D15" t="s">
        <v>473</v>
      </c>
    </row>
    <row r="16">
      <c r="A16" t="n">
        <v>331</v>
      </c>
      <c r="B16" t="s">
        <v>362</v>
      </c>
      <c r="C16" t="n">
        <v>0.3</v>
      </c>
      <c r="D16" t="s">
        <v>477</v>
      </c>
    </row>
    <row r="17">
      <c r="A17" t="n">
        <v>331</v>
      </c>
      <c r="B17" t="s">
        <v>478</v>
      </c>
      <c r="C17" t="n">
        <v>0.7</v>
      </c>
      <c r="D17" t="s">
        <v>477</v>
      </c>
    </row>
    <row r="18">
      <c r="A18" t="n">
        <v>325</v>
      </c>
      <c r="B18" t="s">
        <v>481</v>
      </c>
      <c r="C18" t="n">
        <v>0.95</v>
      </c>
      <c r="D18" t="s">
        <v>483</v>
      </c>
    </row>
    <row r="19">
      <c r="A19" t="n">
        <v>325</v>
      </c>
      <c r="B19" t="s">
        <v>484</v>
      </c>
      <c r="C19" t="n">
        <v>0.05</v>
      </c>
      <c r="D19" t="s">
        <v>483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493</v>
      </c>
    </row>
    <row r="2">
      <c r="A2" t="s">
        <v>494</v>
      </c>
    </row>
    <row r="3">
      <c r="A3" t="s">
        <v>495</v>
      </c>
    </row>
    <row r="4">
      <c r="A4" t="s">
        <v>496</v>
      </c>
    </row>
    <row r="5">
      <c r="A5" t="s">
        <v>1</v>
      </c>
    </row>
    <row r="7">
      <c r="A7" t="s">
        <v>497</v>
      </c>
      <c r="B7" t="s">
        <v>498</v>
      </c>
      <c r="C7" t="s">
        <v>499</v>
      </c>
    </row>
    <row r="8">
      <c r="A8" t="s">
        <v>323</v>
      </c>
      <c r="B8" t="s">
        <v>500</v>
      </c>
      <c r="C8" t="s">
        <v>501</v>
      </c>
    </row>
    <row r="9">
      <c r="A9" t="s">
        <v>465</v>
      </c>
      <c r="B9" t="s">
        <v>466</v>
      </c>
      <c r="C9" t="s">
        <v>502</v>
      </c>
    </row>
    <row r="10">
      <c r="A10" t="s">
        <v>327</v>
      </c>
      <c r="B10" t="s">
        <v>328</v>
      </c>
      <c r="C10" t="s">
        <v>503</v>
      </c>
    </row>
    <row r="11">
      <c r="A11" t="s">
        <v>468</v>
      </c>
      <c r="B11" t="s">
        <v>504</v>
      </c>
      <c r="C11" t="s">
        <v>505</v>
      </c>
    </row>
    <row r="12">
      <c r="A12" t="s">
        <v>330</v>
      </c>
      <c r="B12" t="s">
        <v>331</v>
      </c>
      <c r="C12" t="s">
        <v>506</v>
      </c>
    </row>
    <row r="13">
      <c r="A13" t="s">
        <v>345</v>
      </c>
      <c r="B13" t="s">
        <v>507</v>
      </c>
      <c r="C13" t="s">
        <v>508</v>
      </c>
    </row>
    <row r="14">
      <c r="A14" t="s">
        <v>348</v>
      </c>
      <c r="B14" t="s">
        <v>509</v>
      </c>
      <c r="C14" t="s">
        <v>510</v>
      </c>
    </row>
    <row r="15">
      <c r="A15" t="s">
        <v>352</v>
      </c>
      <c r="B15" t="s">
        <v>511</v>
      </c>
      <c r="C15" t="s">
        <v>512</v>
      </c>
    </row>
    <row r="16">
      <c r="A16" t="s">
        <v>355</v>
      </c>
      <c r="B16" t="s">
        <v>356</v>
      </c>
      <c r="C16" t="s">
        <v>513</v>
      </c>
    </row>
    <row r="17">
      <c r="A17" t="s">
        <v>359</v>
      </c>
      <c r="B17" t="s">
        <v>360</v>
      </c>
      <c r="C17" t="s">
        <v>514</v>
      </c>
    </row>
    <row r="18">
      <c r="A18" t="s">
        <v>481</v>
      </c>
      <c r="B18" t="s">
        <v>515</v>
      </c>
      <c r="C18" t="s">
        <v>516</v>
      </c>
    </row>
    <row r="19">
      <c r="A19" t="s">
        <v>484</v>
      </c>
      <c r="B19" t="s">
        <v>517</v>
      </c>
      <c r="C19" t="s">
        <v>518</v>
      </c>
    </row>
    <row r="20">
      <c r="A20" t="s">
        <v>131</v>
      </c>
      <c r="B20" t="s">
        <v>366</v>
      </c>
      <c r="C20" t="s">
        <v>519</v>
      </c>
    </row>
    <row r="21">
      <c r="A21" t="s">
        <v>471</v>
      </c>
      <c r="B21" t="s">
        <v>520</v>
      </c>
      <c r="C21" t="s">
        <v>521</v>
      </c>
    </row>
    <row r="22">
      <c r="A22" t="s">
        <v>474</v>
      </c>
      <c r="B22" t="s">
        <v>522</v>
      </c>
      <c r="C22" t="s">
        <v>523</v>
      </c>
    </row>
    <row r="23">
      <c r="A23" t="s">
        <v>362</v>
      </c>
      <c r="B23" t="s">
        <v>524</v>
      </c>
      <c r="C23" t="s">
        <v>525</v>
      </c>
    </row>
    <row r="24">
      <c r="A24" t="s">
        <v>478</v>
      </c>
      <c r="B24" t="s">
        <v>526</v>
      </c>
      <c r="C24" t="s">
        <v>527</v>
      </c>
    </row>
    <row r="25">
      <c r="A25" t="s">
        <v>368</v>
      </c>
      <c r="B25" t="s">
        <v>528</v>
      </c>
      <c r="C25" t="s">
        <v>529</v>
      </c>
    </row>
    <row r="26">
      <c r="A26" t="s">
        <v>373</v>
      </c>
      <c r="B26" t="s">
        <v>374</v>
      </c>
      <c r="C26" t="s">
        <v>530</v>
      </c>
    </row>
    <row r="27">
      <c r="A27" t="s">
        <v>376</v>
      </c>
      <c r="B27" t="s">
        <v>377</v>
      </c>
      <c r="C27" t="s">
        <v>531</v>
      </c>
    </row>
    <row r="28">
      <c r="A28" t="s">
        <v>370</v>
      </c>
      <c r="B28" t="s">
        <v>371</v>
      </c>
      <c r="C28" t="s">
        <v>532</v>
      </c>
    </row>
    <row r="29">
      <c r="A29" t="s">
        <v>379</v>
      </c>
      <c r="B29" t="s">
        <v>533</v>
      </c>
      <c r="C29" t="s">
        <v>534</v>
      </c>
    </row>
    <row r="30">
      <c r="A30" t="s">
        <v>382</v>
      </c>
      <c r="B30" t="s">
        <v>383</v>
      </c>
      <c r="C30" t="s">
        <v>535</v>
      </c>
    </row>
    <row r="31">
      <c r="A31" t="s">
        <v>385</v>
      </c>
      <c r="B31" t="s">
        <v>536</v>
      </c>
      <c r="C31" t="s">
        <v>537</v>
      </c>
    </row>
    <row r="32">
      <c r="A32" t="s">
        <v>333</v>
      </c>
      <c r="B32" t="s">
        <v>538</v>
      </c>
      <c r="C32" t="s">
        <v>539</v>
      </c>
    </row>
    <row r="33">
      <c r="A33" t="s">
        <v>336</v>
      </c>
      <c r="B33" t="s">
        <v>540</v>
      </c>
      <c r="C33" t="s">
        <v>541</v>
      </c>
    </row>
    <row r="34">
      <c r="A34" t="s">
        <v>339</v>
      </c>
      <c r="B34" t="s">
        <v>542</v>
      </c>
      <c r="C34" t="s">
        <v>543</v>
      </c>
    </row>
    <row r="35">
      <c r="A35" t="s">
        <v>343</v>
      </c>
      <c r="B35" t="s">
        <v>342</v>
      </c>
      <c r="C35" t="s">
        <v>544</v>
      </c>
    </row>
    <row r="36">
      <c r="A36" t="s">
        <v>389</v>
      </c>
      <c r="B36" t="s">
        <v>545</v>
      </c>
      <c r="C36" t="s">
        <v>546</v>
      </c>
    </row>
    <row r="37">
      <c r="A37" t="s">
        <v>396</v>
      </c>
      <c r="B37" t="s">
        <v>397</v>
      </c>
      <c r="C37" t="s">
        <v>547</v>
      </c>
    </row>
    <row r="38">
      <c r="A38" t="s">
        <v>453</v>
      </c>
      <c r="B38" t="s">
        <v>548</v>
      </c>
      <c r="C38" t="s">
        <v>549</v>
      </c>
    </row>
    <row r="39">
      <c r="A39" t="s">
        <v>408</v>
      </c>
      <c r="B39" t="s">
        <v>550</v>
      </c>
      <c r="C39" t="s">
        <v>551</v>
      </c>
    </row>
    <row r="40">
      <c r="A40" t="s">
        <v>182</v>
      </c>
      <c r="B40" t="s">
        <v>413</v>
      </c>
      <c r="C40" t="s">
        <v>552</v>
      </c>
    </row>
    <row r="41">
      <c r="A41" t="s">
        <v>415</v>
      </c>
      <c r="B41" t="s">
        <v>416</v>
      </c>
      <c r="C41" t="s">
        <v>553</v>
      </c>
    </row>
    <row r="42">
      <c r="A42" t="s">
        <v>418</v>
      </c>
      <c r="B42" t="s">
        <v>554</v>
      </c>
      <c r="C42" t="s">
        <v>555</v>
      </c>
    </row>
    <row r="43">
      <c r="A43" t="s">
        <v>424</v>
      </c>
      <c r="B43" t="s">
        <v>425</v>
      </c>
      <c r="C43" t="s">
        <v>556</v>
      </c>
    </row>
    <row r="44">
      <c r="A44" t="s">
        <v>428</v>
      </c>
      <c r="B44" t="s">
        <v>557</v>
      </c>
      <c r="C44" t="s">
        <v>558</v>
      </c>
    </row>
    <row r="45">
      <c r="A45" t="s">
        <v>458</v>
      </c>
      <c r="B45" t="s">
        <v>559</v>
      </c>
      <c r="C45" t="s">
        <v>560</v>
      </c>
    </row>
    <row r="46">
      <c r="A46" t="s">
        <v>440</v>
      </c>
      <c r="B46" t="s">
        <v>441</v>
      </c>
      <c r="C46" t="s">
        <v>561</v>
      </c>
    </row>
    <row r="47">
      <c r="A47" t="s">
        <v>443</v>
      </c>
      <c r="B47" t="s">
        <v>562</v>
      </c>
      <c r="C47" t="s">
        <v>563</v>
      </c>
    </row>
    <row r="48">
      <c r="A48" t="s">
        <v>449</v>
      </c>
      <c r="B48" t="s">
        <v>564</v>
      </c>
      <c r="C48" t="s">
        <v>565</v>
      </c>
    </row>
    <row r="49">
      <c r="A49" t="s">
        <v>566</v>
      </c>
      <c r="B49" t="s">
        <v>567</v>
      </c>
      <c r="C49" t="s">
        <v>568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569</v>
      </c>
    </row>
    <row r="2">
      <c r="A2" t="s">
        <v>315</v>
      </c>
      <c r="B2" t="s">
        <v>317</v>
      </c>
      <c r="C2" t="s">
        <v>319</v>
      </c>
      <c r="D2" t="s">
        <v>570</v>
      </c>
      <c r="E2" t="s">
        <v>571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IFERROR(INDEX('1_Source_V001_Compensation'!$B$2:$B$72, MATCH($A3, '1_Source_V001_Compensation'!$A$2:$A$72,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IFERROR(INDEX('1_Source_V001_Compensation'!$B$2:$B$72, MATCH($A4, '1_Source_V001_Compensation'!$A$2:$A$72,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IFERROR(INDEX('1_Source_V001_Compensation'!$B$2:$B$72, MATCH($A5, '1_Source_V001_Compensation'!$A$2:$A$72,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IFERROR(INDEX('1_Source_V001_Compensation'!$B$2:$B$72, MATCH($A6, '1_Source_V001_Compensation'!$A$2:$A$72,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IFERROR(INDEX('1_Source_V001_Compensation'!$B$2:$B$72, MATCH($A7, '1_Source_V001_Compensation'!$A$2:$A$72,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IFERROR(INDEX('1_Source_V001_Compensation'!$B$2:$B$72, MATCH($A8, '1_Source_V001_Compensation'!$A$2:$A$72,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IFERROR(INDEX('1_Source_V001_Compensation'!$B$2:$B$72, MATCH($A9, '1_Source_V001_Compensation'!$A$2:$A$72,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IFERROR(INDEX('1_Source_V001_Compensation'!$B$2:$B$72, MATCH($A10, '1_Source_V001_Compensation'!$A$2:$A$72,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IFERROR(INDEX('1_Source_V001_Compensation'!$B$2:$B$72, MATCH($A11, '1_Source_V001_Compensation'!$A$2:$A$72,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IFERROR(INDEX('1_Source_V001_Compensation'!$B$2:$B$72, MATCH($A12, '1_Source_V001_Compensation'!$A$2:$A$72,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IFERROR(INDEX('1_Source_V001_Compensation'!$B$2:$B$72, MATCH($A13, '1_Source_V001_Compensation'!$A$2:$A$72,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IFERROR(INDEX('1_Source_V001_Compensation'!$B$2:$B$72, MATCH($A14, '1_Source_V001_Compensation'!$A$2:$A$72,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IFERROR(INDEX('1_Source_V001_Compensation'!$B$2:$B$72, MATCH($A15, '1_Source_V001_Compensation'!$A$2:$A$72,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IFERROR(INDEX('1_Source_V001_Compensation'!$B$2:$B$72, MATCH($A16, '1_Source_V001_Compensation'!$A$2:$A$72,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IFERROR(INDEX('1_Source_V001_Compensation'!$B$2:$B$72, MATCH($A17, '1_Source_V001_Compensation'!$A$2:$A$72,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IFERROR(INDEX('1_Source_V001_Compensation'!$B$2:$B$72, MATCH($A18, '1_Source_V001_Compensation'!$A$2:$A$72,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IFERROR(INDEX('1_Source_V001_Compensation'!$B$2:$B$72, MATCH($A19, '1_Source_V001_Compensation'!$A$2:$A$72,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IFERROR(INDEX('1_Source_V001_Compensation'!$B$2:$B$72, MATCH($A20, '1_Source_V001_Compensation'!$A$2:$A$72,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IFERROR(INDEX('1_Source_V001_Compensation'!$B$2:$B$72, MATCH($A21, '1_Source_V001_Compensation'!$A$2:$A$72,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IFERROR(INDEX('1_Source_V001_Compensation'!$B$2:$B$72, MATCH($A22, '1_Source_V001_Compensation'!$A$2:$A$72,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IFERROR(INDEX('1_Source_V001_Compensation'!$B$2:$B$72, MATCH($A23, '1_Source_V001_Compensation'!$A$2:$A$72,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IFERROR(INDEX('1_Source_V001_Compensation'!$B$2:$B$72, MATCH($A24, '1_Source_V001_Compensation'!$A$2:$A$72,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IFERROR(INDEX('1_Source_V001_Compensation'!$B$2:$B$72, MATCH($A25, '1_Source_V001_Compensation'!$A$2:$A$72,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IFERROR(INDEX('1_Source_V001_Compensation'!$B$2:$B$72, MATCH($A26, '1_Source_V001_Compensation'!$A$2:$A$72,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IFERROR(INDEX('1_Source_V001_Compensation'!$B$2:$B$72, MATCH($A27, '1_Source_V001_Compensation'!$A$2:$A$72,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IFERROR(INDEX('1_Source_V001_Compensation'!$B$2:$B$72, MATCH($A28, '1_Source_V001_Compensation'!$A$2:$A$72,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IFERROR(INDEX('1_Source_V001_Compensation'!$B$2:$B$72, MATCH($A29, '1_Source_V001_Compensation'!$A$2:$A$72,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IFERROR(INDEX('1_Source_V001_Compensation'!$B$2:$B$72, MATCH($A30, '1_Source_V001_Compensation'!$A$2:$A$72,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IFERROR(INDEX('1_Source_V001_Compensation'!$B$2:$B$72, MATCH($A31, '1_Source_V001_Compensation'!$A$2:$A$72,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IFERROR(INDEX('1_Source_V001_Compensation'!$B$2:$B$72, MATCH($A32, '1_Source_V001_Compensation'!$A$2:$A$72,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IFERROR(INDEX('1_Source_V001_Compensation'!$B$2:$B$72, MATCH($A33, '1_Source_V001_Compensation'!$A$2:$A$72,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IFERROR(INDEX('1_Source_V001_Compensation'!$B$2:$B$72, MATCH($A34, '1_Source_V001_Compensation'!$A$2:$A$72,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IFERROR(INDEX('1_Source_V001_Compensation'!$B$2:$B$72, MATCH($A35, '1_Source_V001_Compensation'!$A$2:$A$72,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IFERROR(INDEX('1_Source_V001_Compensation'!$B$2:$B$72, MATCH($A36, '1_Source_V001_Compensation'!$A$2:$A$72,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IFERROR(INDEX('1_Source_V001_Compensation'!$B$2:$B$72, MATCH($A37, '1_Source_V001_Compensation'!$A$2:$A$72,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IFERROR(INDEX('1_Source_V001_Compensation'!$B$2:$B$72, MATCH($A38, '1_Source_V001_Compensation'!$A$2:$A$72,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IFERROR(INDEX('1_Source_V001_Compensation'!$B$2:$B$72, MATCH($A39, '1_Source_V001_Compensation'!$A$2:$A$72,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IFERROR(INDEX('1_Source_V001_Compensation'!$B$2:$B$72, MATCH($A40, '1_Source_V001_Compensation'!$A$2:$A$72,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IFERROR(INDEX('1_Source_V001_Compensation'!$B$2:$B$72, MATCH($A41, '1_Source_V001_Compensation'!$A$2:$A$72,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IFERROR(INDEX('1_Source_V001_Compensation'!$B$2:$B$72, MATCH($A42, '1_Source_V001_Compensation'!$A$2:$A$72,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IFERROR(INDEX('1_Source_V001_Compensation'!$B$2:$B$72, MATCH($A43, '1_Source_V001_Compensation'!$A$2:$A$72,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IFERROR(INDEX('1_Source_V001_Compensation'!$B$2:$B$72, MATCH($A44, '1_Source_V001_Compensation'!$A$2:$A$72,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IFERROR(INDEX('1_Source_V001_Compensation'!$B$2:$B$72, MATCH($A45, '1_Source_V001_Compensation'!$A$2:$A$72,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IFERROR(INDEX('1_Source_V001_Compensation'!$B$2:$B$72, MATCH($A46, '1_Source_V001_Compensation'!$A$2:$A$72,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IFERROR(INDEX('1_Source_V001_Compensation'!$B$2:$B$72, MATCH($A47, '1_Source_V001_Compensation'!$A$2:$A$72,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IFERROR(INDEX('1_Source_V001_Compensation'!$B$2:$B$72, MATCH($A48, '1_Source_V001_Compensation'!$A$2:$A$72,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IFERROR(INDEX('1_Source_V001_Compensation'!$B$2:$B$72, MATCH($A49, '1_Source_V001_Compensation'!$A$2:$A$72,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IFERROR(INDEX('1_Source_V001_Compensation'!$B$2:$B$72, MATCH($A50, '1_Source_V001_Compensation'!$A$2:$A$72,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IFERROR(INDEX('1_Source_V001_Compensation'!$B$2:$B$72, MATCH($A51, '1_Source_V001_Compensation'!$A$2:$A$72,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IFERROR(INDEX('1_Source_V001_Compensation'!$B$2:$B$72, MATCH($A52, '1_Source_V001_Compensation'!$A$2:$A$72,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IFERROR(INDEX('1_Source_V001_Compensation'!$B$2:$B$72, MATCH($A53, '1_Source_V001_Compensation'!$A$2:$A$72,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IFERROR(INDEX('1_Source_V001_Compensation'!$B$2:$B$72, MATCH($A54, '1_Source_V001_Compensation'!$A$2:$A$72,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IFERROR(INDEX('1_Source_V001_Compensation'!$B$2:$B$72, MATCH($A55, '1_Source_V001_Compensation'!$A$2:$A$72,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IFERROR(INDEX('1_Source_V001_Compensation'!$B$2:$B$72, MATCH($A56, '1_Source_V001_Compensation'!$A$2:$A$72,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IFERROR(INDEX('1_Source_V001_Compensation'!$B$2:$B$72, MATCH($A57, '1_Source_V001_Compensation'!$A$2:$A$72,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IFERROR(INDEX('1_Source_V001_Compensation'!$B$2:$B$72, MATCH($A58, '1_Source_V001_Compensation'!$A$2:$A$72,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IFERROR(INDEX('1_Source_V001_Compensation'!$B$2:$B$72, MATCH($A59, '1_Source_V001_Compensation'!$A$2:$A$72,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IFERROR(INDEX('1_Source_V001_Compensation'!$B$2:$B$72, MATCH($A60, '1_Source_V001_Compensation'!$A$2:$A$72,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IFERROR(INDEX('1_Source_V001_Compensation'!$B$2:$B$72, MATCH($A61, '1_Source_V001_Compensation'!$A$2:$A$72,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IFERROR(INDEX('1_Source_V001_Compensation'!$B$2:$B$72, MATCH($A62, '1_Source_V001_Compensation'!$A$2:$A$72,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IFERROR(INDEX('1_Source_V001_Compensation'!$B$2:$B$72, MATCH($A63, '1_Source_V001_Compensation'!$A$2:$A$72,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IFERROR(INDEX('1_Source_V001_Compensation'!$B$2:$B$72, MATCH($A64, '1_Source_V001_Compensation'!$A$2:$A$72,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IFERROR(INDEX('1_Source_V001_Compensation'!$B$2:$B$72, MATCH($A65, '1_Source_V001_Compensation'!$A$2:$A$72,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IFERROR(INDEX('1_Source_V001_Compensation'!$B$2:$B$72, MATCH($A66, '1_Source_V001_Compensation'!$A$2:$A$72,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IFERROR(INDEX('1_Source_V001_Compensation'!$B$2:$B$72, MATCH($A67, '1_Source_V001_Compensation'!$A$2:$A$72,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IFERROR(INDEX('1_Source_V001_Compensation'!$B$2:$B$72, MATCH($A68, '1_Source_V001_Compensation'!$A$2:$A$72,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IFERROR(INDEX('1_Source_V001_Compensation'!$B$2:$B$72, MATCH($A69, '1_Source_V001_Compensation'!$A$2:$A$72,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IFERROR(INDEX('1_Source_V001_Compensation'!$B$2:$B$72, MATCH($A70, '1_Source_V001_Compensation'!$A$2:$A$72,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IFERROR(INDEX('1_Source_V001_Compensation'!$B$2:$B$72, MATCH($A71, '1_Source_V001_Compensation'!$A$2:$A$72,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IFERROR(INDEX('1_Source_V001_Compensation'!$B$2:$B$72, MATCH($A72, '1_Source_V001_Compensation'!$A$2:$A$72,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IFERROR(INDEX('1_Source_V001_Compensation'!$B$2:$B$72, MATCH($A73, '1_Source_V001_Compensation'!$A$2:$A$72,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IFERROR(INDEX('1_Source_V001_Compensation'!$B$2:$B$72, MATCH($A74, '1_Source_V001_Compensation'!$A$2:$A$72,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IFERROR(INDEX('1_Source_V001_Compensation'!$B$2:$B$72, MATCH($A75, '1_Source_V001_Compensation'!$A$2:$A$72,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IFERROR(INDEX('1_Source_V001_Compensation'!$B$2:$B$72, MATCH($A76, '1_Source_V001_Compensation'!$A$2:$A$72,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IFERROR(INDEX('1_Source_V001_Compensation'!$B$2:$B$72, MATCH($A77, '1_Source_V001_Compensation'!$A$2:$A$72,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IFERROR(INDEX('1_Source_V001_Compensation'!$B$2:$B$72, MATCH($A78, '1_Source_V001_Compensation'!$A$2:$A$72,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IFERROR(INDEX('1_Source_V001_Compensation'!$B$2:$B$72, MATCH($A79, '1_Source_V001_Compensation'!$A$2:$A$72,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IFERROR(INDEX('1_Source_V001_Compensation'!$B$2:$B$72, MATCH($A80, '1_Source_V001_Compensation'!$A$2:$A$72,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IFERROR(INDEX('1_Source_V001_Compensation'!$B$2:$B$72, MATCH($A81, '1_Source_V001_Compensation'!$A$2:$A$72, 0)), 0)</f>
      </c>
      <c r="E81" t="str">
        <f>C81*D81</f>
      </c>
    </row>
    <row r="83">
      <c r="A83" t="s">
        <v>572</v>
      </c>
    </row>
    <row r="84">
      <c r="A84" t="s">
        <v>317</v>
      </c>
      <c r="B84" t="s">
        <v>573</v>
      </c>
      <c r="C84" t="s">
        <v>574</v>
      </c>
    </row>
    <row r="85">
      <c r="A85" t="s">
        <v>323</v>
      </c>
      <c r="B85" t="str">
        <f>SUMIFS('5_Calc_ISIC_aggregation'!$E$3:$E$81, '5_Calc_ISIC_aggregation'!$B$3:$B$81, $A85)</f>
      </c>
      <c r="C85" t="str">
        <f>B85/Keys!$C$2</f>
      </c>
    </row>
    <row r="86">
      <c r="A86" t="s">
        <v>465</v>
      </c>
      <c r="B86" t="str">
        <f>SUMIFS('5_Calc_ISIC_aggregation'!$E$3:$E$81, '5_Calc_ISIC_aggregation'!$B$3:$B$81, $A86)</f>
      </c>
      <c r="C86" t="str">
        <f>B86/Keys!$C$2</f>
      </c>
    </row>
    <row r="87">
      <c r="A87" t="s">
        <v>327</v>
      </c>
      <c r="B87" t="str">
        <f>SUMIFS('5_Calc_ISIC_aggregation'!$E$3:$E$81, '5_Calc_ISIC_aggregation'!$B$3:$B$81, $A87)</f>
      </c>
      <c r="C87" t="str">
        <f>B87/Keys!$C$2</f>
      </c>
    </row>
    <row r="88">
      <c r="A88" t="s">
        <v>468</v>
      </c>
      <c r="B88" t="str">
        <f>SUMIFS('5_Calc_ISIC_aggregation'!$E$3:$E$81, '5_Calc_ISIC_aggregation'!$B$3:$B$81, $A88)</f>
      </c>
      <c r="C88" t="str">
        <f>B88/Keys!$C$2</f>
      </c>
    </row>
    <row r="89">
      <c r="A89" t="s">
        <v>330</v>
      </c>
      <c r="B89" t="str">
        <f>SUMIFS('5_Calc_ISIC_aggregation'!$E$3:$E$81, '5_Calc_ISIC_aggregation'!$B$3:$B$81, $A89)</f>
      </c>
      <c r="C89" t="str">
        <f>B89/Keys!$C$2</f>
      </c>
    </row>
    <row r="90">
      <c r="A90" t="s">
        <v>345</v>
      </c>
      <c r="B90" t="str">
        <f>SUMIFS('5_Calc_ISIC_aggregation'!$E$3:$E$81, '5_Calc_ISIC_aggregation'!$B$3:$B$81, $A90)</f>
      </c>
      <c r="C90" t="str">
        <f>B90/Keys!$C$2</f>
      </c>
    </row>
    <row r="91">
      <c r="A91" t="s">
        <v>348</v>
      </c>
      <c r="B91" t="str">
        <f>SUMIFS('5_Calc_ISIC_aggregation'!$E$3:$E$81, '5_Calc_ISIC_aggregation'!$B$3:$B$81, $A91)</f>
      </c>
      <c r="C91" t="str">
        <f>B91/Keys!$C$2</f>
      </c>
    </row>
    <row r="92">
      <c r="A92" t="s">
        <v>352</v>
      </c>
      <c r="B92" t="str">
        <f>SUMIFS('5_Calc_ISIC_aggregation'!$E$3:$E$81, '5_Calc_ISIC_aggregation'!$B$3:$B$81, $A92)</f>
      </c>
      <c r="C92" t="str">
        <f>B92/Keys!$C$2</f>
      </c>
    </row>
    <row r="93">
      <c r="A93" t="s">
        <v>355</v>
      </c>
      <c r="B93" t="str">
        <f>SUMIFS('5_Calc_ISIC_aggregation'!$E$3:$E$81, '5_Calc_ISIC_aggregation'!$B$3:$B$81, $A93)</f>
      </c>
      <c r="C93" t="str">
        <f>B93/Keys!$C$2</f>
      </c>
    </row>
    <row r="94">
      <c r="A94" t="s">
        <v>359</v>
      </c>
      <c r="B94" t="str">
        <f>SUMIFS('5_Calc_ISIC_aggregation'!$E$3:$E$81, '5_Calc_ISIC_aggregation'!$B$3:$B$81, $A94)</f>
      </c>
      <c r="C94" t="str">
        <f>B94/Keys!$C$2</f>
      </c>
    </row>
    <row r="95">
      <c r="A95" t="s">
        <v>481</v>
      </c>
      <c r="B95" t="str">
        <f>SUMIFS('5_Calc_ISIC_aggregation'!$E$3:$E$81, '5_Calc_ISIC_aggregation'!$B$3:$B$81, $A95)</f>
      </c>
      <c r="C95" t="str">
        <f>B95/Keys!$C$2</f>
      </c>
    </row>
    <row r="96">
      <c r="A96" t="s">
        <v>484</v>
      </c>
      <c r="B96" t="str">
        <f>SUMIFS('5_Calc_ISIC_aggregation'!$E$3:$E$81, '5_Calc_ISIC_aggregation'!$B$3:$B$81, $A96)</f>
      </c>
      <c r="C96" t="str">
        <f>B96/Keys!$C$2</f>
      </c>
    </row>
    <row r="97">
      <c r="A97" t="s">
        <v>131</v>
      </c>
      <c r="B97" t="str">
        <f>SUMIFS('5_Calc_ISIC_aggregation'!$E$3:$E$81, '5_Calc_ISIC_aggregation'!$B$3:$B$81, $A97)</f>
      </c>
      <c r="C97" t="str">
        <f>B97/Keys!$C$2</f>
      </c>
    </row>
    <row r="98">
      <c r="A98" t="s">
        <v>471</v>
      </c>
      <c r="B98" t="str">
        <f>SUMIFS('5_Calc_ISIC_aggregation'!$E$3:$E$81, '5_Calc_ISIC_aggregation'!$B$3:$B$81, $A98)</f>
      </c>
      <c r="C98" t="str">
        <f>B98/Keys!$C$2</f>
      </c>
    </row>
    <row r="99">
      <c r="A99" t="s">
        <v>474</v>
      </c>
      <c r="B99" t="str">
        <f>SUMIFS('5_Calc_ISIC_aggregation'!$E$3:$E$81, '5_Calc_ISIC_aggregation'!$B$3:$B$81, $A99)</f>
      </c>
      <c r="C99" t="str">
        <f>B99/Keys!$C$2</f>
      </c>
    </row>
    <row r="100">
      <c r="A100" t="s">
        <v>362</v>
      </c>
      <c r="B100" t="str">
        <f>SUMIFS('5_Calc_ISIC_aggregation'!$E$3:$E$81, '5_Calc_ISIC_aggregation'!$B$3:$B$81, $A100)</f>
      </c>
      <c r="C100" t="str">
        <f>B100/Keys!$C$2</f>
      </c>
    </row>
    <row r="101">
      <c r="A101" t="s">
        <v>478</v>
      </c>
      <c r="B101" t="str">
        <f>SUMIFS('5_Calc_ISIC_aggregation'!$E$3:$E$81, '5_Calc_ISIC_aggregation'!$B$3:$B$81, $A101)</f>
      </c>
      <c r="C101" t="str">
        <f>B101/Keys!$C$2</f>
      </c>
    </row>
    <row r="102">
      <c r="A102" t="s">
        <v>368</v>
      </c>
      <c r="B102" t="str">
        <f>SUMIFS('5_Calc_ISIC_aggregation'!$E$3:$E$81, '5_Calc_ISIC_aggregation'!$B$3:$B$81, $A102)</f>
      </c>
      <c r="C102" t="str">
        <f>B102/Keys!$C$2</f>
      </c>
    </row>
    <row r="103">
      <c r="A103" t="s">
        <v>373</v>
      </c>
      <c r="B103" t="str">
        <f>SUMIFS('5_Calc_ISIC_aggregation'!$E$3:$E$81, '5_Calc_ISIC_aggregation'!$B$3:$B$81, $A103)</f>
      </c>
      <c r="C103" t="str">
        <f>B103/Keys!$C$2</f>
      </c>
    </row>
    <row r="104">
      <c r="A104" t="s">
        <v>376</v>
      </c>
      <c r="B104" t="str">
        <f>SUMIFS('5_Calc_ISIC_aggregation'!$E$3:$E$81, '5_Calc_ISIC_aggregation'!$B$3:$B$81, $A104)</f>
      </c>
      <c r="C104" t="str">
        <f>B104/Keys!$C$2</f>
      </c>
    </row>
    <row r="105">
      <c r="A105" t="s">
        <v>370</v>
      </c>
      <c r="B105" t="str">
        <f>SUMIFS('5_Calc_ISIC_aggregation'!$E$3:$E$81, '5_Calc_ISIC_aggregation'!$B$3:$B$81, $A105)</f>
      </c>
      <c r="C105" t="str">
        <f>B105/Keys!$C$2</f>
      </c>
    </row>
    <row r="106">
      <c r="A106" t="s">
        <v>379</v>
      </c>
      <c r="B106" t="str">
        <f>SUMIFS('5_Calc_ISIC_aggregation'!$E$3:$E$81, '5_Calc_ISIC_aggregation'!$B$3:$B$81, $A106)</f>
      </c>
      <c r="C106" t="str">
        <f>B106/Keys!$C$2</f>
      </c>
    </row>
    <row r="107">
      <c r="A107" t="s">
        <v>382</v>
      </c>
      <c r="B107" t="str">
        <f>SUMIFS('5_Calc_ISIC_aggregation'!$E$3:$E$81, '5_Calc_ISIC_aggregation'!$B$3:$B$81, $A107)</f>
      </c>
      <c r="C107" t="str">
        <f>B107/Keys!$C$2</f>
      </c>
    </row>
    <row r="108">
      <c r="A108" t="s">
        <v>385</v>
      </c>
      <c r="B108" t="str">
        <f>SUMIFS('5_Calc_ISIC_aggregation'!$E$3:$E$81, '5_Calc_ISIC_aggregation'!$B$3:$B$81, $A108)</f>
      </c>
      <c r="C108" t="str">
        <f>B108/Keys!$C$2</f>
      </c>
    </row>
    <row r="109">
      <c r="A109" t="s">
        <v>333</v>
      </c>
      <c r="B109" t="str">
        <f>SUMIFS('5_Calc_ISIC_aggregation'!$E$3:$E$81, '5_Calc_ISIC_aggregation'!$B$3:$B$81, $A109)</f>
      </c>
      <c r="C109" t="str">
        <f>B109/Keys!$C$2</f>
      </c>
    </row>
    <row r="110">
      <c r="A110" t="s">
        <v>336</v>
      </c>
      <c r="B110" t="str">
        <f>SUMIFS('5_Calc_ISIC_aggregation'!$E$3:$E$81, '5_Calc_ISIC_aggregation'!$B$3:$B$81, $A110)</f>
      </c>
      <c r="C110" t="str">
        <f>B110/Keys!$C$2</f>
      </c>
    </row>
    <row r="111">
      <c r="A111" t="s">
        <v>339</v>
      </c>
      <c r="B111" t="str">
        <f>SUMIFS('5_Calc_ISIC_aggregation'!$E$3:$E$81, '5_Calc_ISIC_aggregation'!$B$3:$B$81, $A111)</f>
      </c>
      <c r="C111" t="str">
        <f>B111/Keys!$C$2</f>
      </c>
    </row>
    <row r="112">
      <c r="A112" t="s">
        <v>343</v>
      </c>
      <c r="B112" t="str">
        <f>SUMIFS('5_Calc_ISIC_aggregation'!$E$3:$E$81, '5_Calc_ISIC_aggregation'!$B$3:$B$81, $A112)</f>
      </c>
      <c r="C112" t="str">
        <f>B112/Keys!$C$2</f>
      </c>
    </row>
    <row r="113">
      <c r="A113" t="s">
        <v>389</v>
      </c>
      <c r="B113" t="str">
        <f>SUMIFS('5_Calc_ISIC_aggregation'!$E$3:$E$81, '5_Calc_ISIC_aggregation'!$B$3:$B$81, $A113)</f>
      </c>
      <c r="C113" t="str">
        <f>B113/Keys!$C$2</f>
      </c>
    </row>
    <row r="114">
      <c r="A114" t="s">
        <v>396</v>
      </c>
      <c r="B114" t="str">
        <f>SUMIFS('5_Calc_ISIC_aggregation'!$E$3:$E$81, '5_Calc_ISIC_aggregation'!$B$3:$B$81, $A114)</f>
      </c>
      <c r="C114" t="str">
        <f>B114/Keys!$C$2</f>
      </c>
    </row>
    <row r="115">
      <c r="A115" t="s">
        <v>453</v>
      </c>
      <c r="B115" t="str">
        <f>SUMIFS('5_Calc_ISIC_aggregation'!$E$3:$E$81, '5_Calc_ISIC_aggregation'!$B$3:$B$81, $A115)</f>
      </c>
      <c r="C115" t="str">
        <f>B115/Keys!$C$2</f>
      </c>
    </row>
    <row r="116">
      <c r="A116" t="s">
        <v>408</v>
      </c>
      <c r="B116" t="str">
        <f>SUMIFS('5_Calc_ISIC_aggregation'!$E$3:$E$81, '5_Calc_ISIC_aggregation'!$B$3:$B$81, $A116)</f>
      </c>
      <c r="C116" t="str">
        <f>B116/Keys!$C$2</f>
      </c>
    </row>
    <row r="117">
      <c r="A117" t="s">
        <v>182</v>
      </c>
      <c r="B117" t="str">
        <f>SUMIFS('5_Calc_ISIC_aggregation'!$E$3:$E$81, '5_Calc_ISIC_aggregation'!$B$3:$B$81, $A117)</f>
      </c>
      <c r="C117" t="str">
        <f>B117/Keys!$C$2</f>
      </c>
    </row>
    <row r="118">
      <c r="A118" t="s">
        <v>415</v>
      </c>
      <c r="B118" t="str">
        <f>SUMIFS('5_Calc_ISIC_aggregation'!$E$3:$E$81, '5_Calc_ISIC_aggregation'!$B$3:$B$81, $A118)</f>
      </c>
      <c r="C118" t="str">
        <f>B118/Keys!$C$2</f>
      </c>
    </row>
    <row r="119">
      <c r="A119" t="s">
        <v>418</v>
      </c>
      <c r="B119" t="str">
        <f>SUMIFS('5_Calc_ISIC_aggregation'!$E$3:$E$81, '5_Calc_ISIC_aggregation'!$B$3:$B$81, $A119)</f>
      </c>
      <c r="C119" t="str">
        <f>B119/Keys!$C$2</f>
      </c>
    </row>
    <row r="120">
      <c r="A120" t="s">
        <v>424</v>
      </c>
      <c r="B120" t="str">
        <f>SUMIFS('5_Calc_ISIC_aggregation'!$E$3:$E$81, '5_Calc_ISIC_aggregation'!$B$3:$B$81, $A120)</f>
      </c>
      <c r="C120" t="str">
        <f>B120/Keys!$C$2</f>
      </c>
    </row>
    <row r="121">
      <c r="A121" t="s">
        <v>428</v>
      </c>
      <c r="B121" t="str">
        <f>SUMIFS('5_Calc_ISIC_aggregation'!$E$3:$E$81, '5_Calc_ISIC_aggregation'!$B$3:$B$81, $A121)</f>
      </c>
      <c r="C121" t="str">
        <f>B121/Keys!$C$2</f>
      </c>
    </row>
    <row r="122">
      <c r="A122" t="s">
        <v>458</v>
      </c>
      <c r="B122" t="str">
        <f>SUMIFS('5_Calc_ISIC_aggregation'!$E$3:$E$81, '5_Calc_ISIC_aggregation'!$B$3:$B$81, $A122)</f>
      </c>
      <c r="C122" t="str">
        <f>B122/Keys!$C$2</f>
      </c>
    </row>
    <row r="123">
      <c r="A123" t="s">
        <v>440</v>
      </c>
      <c r="B123" t="str">
        <f>SUMIFS('5_Calc_ISIC_aggregation'!$E$3:$E$81, '5_Calc_ISIC_aggregation'!$B$3:$B$81, $A123)</f>
      </c>
      <c r="C123" t="str">
        <f>B123/Keys!$C$2</f>
      </c>
    </row>
    <row r="124">
      <c r="A124" t="s">
        <v>443</v>
      </c>
      <c r="B124" t="str">
        <f>SUMIFS('5_Calc_ISIC_aggregation'!$E$3:$E$81, '5_Calc_ISIC_aggregation'!$B$3:$B$81, $A124)</f>
      </c>
      <c r="C124" t="str">
        <f>B124/Keys!$C$2</f>
      </c>
    </row>
    <row r="125">
      <c r="A125" t="s">
        <v>449</v>
      </c>
      <c r="B125" t="str">
        <f>SUMIFS('5_Calc_ISIC_aggregation'!$E$3:$E$81, '5_Calc_ISIC_aggregation'!$B$3:$B$81, $A125)</f>
      </c>
      <c r="C125" t="str">
        <f>B125/Keys!$C$2</f>
      </c>
    </row>
    <row r="126">
      <c r="A126" t="s">
        <v>566</v>
      </c>
      <c r="B126" t="str">
        <f>SUMIFS('5_Calc_ISIC_aggregation'!$E$3:$E$81, '5_Calc_ISIC_aggregation'!$B$3:$B$81, $A126)</f>
      </c>
      <c r="C126" t="str">
        <f>B126/Keys!$C$2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">
        <v>575</v>
      </c>
      <c r="B1" t="s">
        <v>323</v>
      </c>
      <c r="C1" t="s">
        <v>465</v>
      </c>
      <c r="D1" t="s">
        <v>327</v>
      </c>
      <c r="E1" t="s">
        <v>468</v>
      </c>
      <c r="F1" t="s">
        <v>330</v>
      </c>
      <c r="G1" t="s">
        <v>345</v>
      </c>
      <c r="H1" t="s">
        <v>348</v>
      </c>
      <c r="I1" t="s">
        <v>352</v>
      </c>
      <c r="J1" t="s">
        <v>355</v>
      </c>
      <c r="K1" t="s">
        <v>359</v>
      </c>
      <c r="L1" t="s">
        <v>481</v>
      </c>
      <c r="M1" t="s">
        <v>484</v>
      </c>
      <c r="N1" t="s">
        <v>131</v>
      </c>
      <c r="O1" t="s">
        <v>471</v>
      </c>
      <c r="P1" t="s">
        <v>474</v>
      </c>
      <c r="Q1" t="s">
        <v>362</v>
      </c>
      <c r="R1" t="s">
        <v>478</v>
      </c>
      <c r="S1" t="s">
        <v>368</v>
      </c>
      <c r="T1" t="s">
        <v>373</v>
      </c>
      <c r="U1" t="s">
        <v>376</v>
      </c>
      <c r="V1" t="s">
        <v>370</v>
      </c>
      <c r="W1" t="s">
        <v>379</v>
      </c>
      <c r="X1" t="s">
        <v>382</v>
      </c>
      <c r="Y1" t="s">
        <v>385</v>
      </c>
      <c r="Z1" t="s">
        <v>333</v>
      </c>
      <c r="AA1" t="s">
        <v>336</v>
      </c>
      <c r="AB1" t="s">
        <v>339</v>
      </c>
      <c r="AC1" t="s">
        <v>343</v>
      </c>
      <c r="AD1" t="s">
        <v>389</v>
      </c>
      <c r="AE1" t="s">
        <v>396</v>
      </c>
      <c r="AF1" t="s">
        <v>453</v>
      </c>
      <c r="AG1" t="s">
        <v>408</v>
      </c>
      <c r="AH1" t="s">
        <v>182</v>
      </c>
      <c r="AI1" t="s">
        <v>415</v>
      </c>
      <c r="AJ1" t="s">
        <v>418</v>
      </c>
      <c r="AK1" t="s">
        <v>424</v>
      </c>
      <c r="AL1" t="s">
        <v>428</v>
      </c>
      <c r="AM1" t="s">
        <v>458</v>
      </c>
      <c r="AN1" t="s">
        <v>440</v>
      </c>
      <c r="AO1" t="s">
        <v>443</v>
      </c>
      <c r="AP1" t="s">
        <v>449</v>
      </c>
      <c r="AQ1" t="s">
        <v>566</v>
      </c>
    </row>
    <row r="2">
      <c r="A2" t="s">
        <v>576</v>
      </c>
      <c r="B2" t="str">
        <f>INDEX('5_Calc_ISIC_aggregation'!$C$85:$C$126, MATCH(B$1, '5_Calc_ISIC_aggregation'!$A$85:$A$126, 0))</f>
      </c>
      <c r="C2" t="str">
        <f>INDEX('5_Calc_ISIC_aggregation'!$C$85:$C$126, MATCH(C$1, '5_Calc_ISIC_aggregation'!$A$85:$A$126, 0))</f>
      </c>
      <c r="D2" t="str">
        <f>INDEX('5_Calc_ISIC_aggregation'!$C$85:$C$126, MATCH(D$1, '5_Calc_ISIC_aggregation'!$A$85:$A$126, 0))</f>
      </c>
      <c r="E2" t="str">
        <f>INDEX('5_Calc_ISIC_aggregation'!$C$85:$C$126, MATCH(E$1, '5_Calc_ISIC_aggregation'!$A$85:$A$126, 0))</f>
      </c>
      <c r="F2" t="str">
        <f>INDEX('5_Calc_ISIC_aggregation'!$C$85:$C$126, MATCH(F$1, '5_Calc_ISIC_aggregation'!$A$85:$A$126, 0))</f>
      </c>
      <c r="G2" t="str">
        <f>INDEX('5_Calc_ISIC_aggregation'!$C$85:$C$126, MATCH(G$1, '5_Calc_ISIC_aggregation'!$A$85:$A$126, 0))</f>
      </c>
      <c r="H2" t="str">
        <f>INDEX('5_Calc_ISIC_aggregation'!$C$85:$C$126, MATCH(H$1, '5_Calc_ISIC_aggregation'!$A$85:$A$126, 0))</f>
      </c>
      <c r="I2" t="str">
        <f>INDEX('5_Calc_ISIC_aggregation'!$C$85:$C$126, MATCH(I$1, '5_Calc_ISIC_aggregation'!$A$85:$A$126, 0))</f>
      </c>
      <c r="J2" t="str">
        <f>INDEX('5_Calc_ISIC_aggregation'!$C$85:$C$126, MATCH(J$1, '5_Calc_ISIC_aggregation'!$A$85:$A$126, 0))</f>
      </c>
      <c r="K2" t="str">
        <f>INDEX('5_Calc_ISIC_aggregation'!$C$85:$C$126, MATCH(K$1, '5_Calc_ISIC_aggregation'!$A$85:$A$126, 0))</f>
      </c>
      <c r="L2" t="str">
        <f>INDEX('5_Calc_ISIC_aggregation'!$C$85:$C$126, MATCH(L$1, '5_Calc_ISIC_aggregation'!$A$85:$A$126, 0))</f>
      </c>
      <c r="M2" t="str">
        <f>INDEX('5_Calc_ISIC_aggregation'!$C$85:$C$126, MATCH(M$1, '5_Calc_ISIC_aggregation'!$A$85:$A$126, 0))</f>
      </c>
      <c r="N2" t="str">
        <f>INDEX('5_Calc_ISIC_aggregation'!$C$85:$C$126, MATCH(N$1, '5_Calc_ISIC_aggregation'!$A$85:$A$126, 0))</f>
      </c>
      <c r="O2" t="str">
        <f>INDEX('5_Calc_ISIC_aggregation'!$C$85:$C$126, MATCH(O$1, '5_Calc_ISIC_aggregation'!$A$85:$A$126, 0))</f>
      </c>
      <c r="P2" t="str">
        <f>INDEX('5_Calc_ISIC_aggregation'!$C$85:$C$126, MATCH(P$1, '5_Calc_ISIC_aggregation'!$A$85:$A$126, 0))</f>
      </c>
      <c r="Q2" t="str">
        <f>INDEX('5_Calc_ISIC_aggregation'!$C$85:$C$126, MATCH(Q$1, '5_Calc_ISIC_aggregation'!$A$85:$A$126, 0))</f>
      </c>
      <c r="R2" t="str">
        <f>INDEX('5_Calc_ISIC_aggregation'!$C$85:$C$126, MATCH(R$1, '5_Calc_ISIC_aggregation'!$A$85:$A$126, 0))</f>
      </c>
      <c r="S2" t="str">
        <f>INDEX('5_Calc_ISIC_aggregation'!$C$85:$C$126, MATCH(S$1, '5_Calc_ISIC_aggregation'!$A$85:$A$126, 0))</f>
      </c>
      <c r="T2" t="str">
        <f>INDEX('5_Calc_ISIC_aggregation'!$C$85:$C$126, MATCH(T$1, '5_Calc_ISIC_aggregation'!$A$85:$A$126, 0))</f>
      </c>
      <c r="U2" t="str">
        <f>INDEX('5_Calc_ISIC_aggregation'!$C$85:$C$126, MATCH(U$1, '5_Calc_ISIC_aggregation'!$A$85:$A$126, 0))</f>
      </c>
      <c r="V2" t="str">
        <f>INDEX('5_Calc_ISIC_aggregation'!$C$85:$C$126, MATCH(V$1, '5_Calc_ISIC_aggregation'!$A$85:$A$126, 0))</f>
      </c>
      <c r="W2" t="str">
        <f>INDEX('5_Calc_ISIC_aggregation'!$C$85:$C$126, MATCH(W$1, '5_Calc_ISIC_aggregation'!$A$85:$A$126, 0))</f>
      </c>
      <c r="X2" t="str">
        <f>INDEX('5_Calc_ISIC_aggregation'!$C$85:$C$126, MATCH(X$1, '5_Calc_ISIC_aggregation'!$A$85:$A$126, 0))</f>
      </c>
      <c r="Y2" t="str">
        <f>INDEX('5_Calc_ISIC_aggregation'!$C$85:$C$126, MATCH(Y$1, '5_Calc_ISIC_aggregation'!$A$85:$A$126, 0))</f>
      </c>
      <c r="Z2" t="str">
        <f>INDEX('5_Calc_ISIC_aggregation'!$C$85:$C$126, MATCH(Z$1, '5_Calc_ISIC_aggregation'!$A$85:$A$126, 0))</f>
      </c>
      <c r="AA2" t="str">
        <f>INDEX('5_Calc_ISIC_aggregation'!$C$85:$C$126, MATCH(AA$1, '5_Calc_ISIC_aggregation'!$A$85:$A$126, 0))</f>
      </c>
      <c r="AB2" t="str">
        <f>INDEX('5_Calc_ISIC_aggregation'!$C$85:$C$126, MATCH(AB$1, '5_Calc_ISIC_aggregation'!$A$85:$A$126, 0))</f>
      </c>
      <c r="AC2" t="str">
        <f>INDEX('5_Calc_ISIC_aggregation'!$C$85:$C$126, MATCH(AC$1, '5_Calc_ISIC_aggregation'!$A$85:$A$126, 0))</f>
      </c>
      <c r="AD2" t="str">
        <f>INDEX('5_Calc_ISIC_aggregation'!$C$85:$C$126, MATCH(AD$1, '5_Calc_ISIC_aggregation'!$A$85:$A$126, 0))</f>
      </c>
      <c r="AE2" t="str">
        <f>INDEX('5_Calc_ISIC_aggregation'!$C$85:$C$126, MATCH(AE$1, '5_Calc_ISIC_aggregation'!$A$85:$A$126, 0))</f>
      </c>
      <c r="AF2" t="str">
        <f>INDEX('5_Calc_ISIC_aggregation'!$C$85:$C$126, MATCH(AF$1, '5_Calc_ISIC_aggregation'!$A$85:$A$126, 0))</f>
      </c>
      <c r="AG2" t="str">
        <f>INDEX('5_Calc_ISIC_aggregation'!$C$85:$C$126, MATCH(AG$1, '5_Calc_ISIC_aggregation'!$A$85:$A$126, 0))</f>
      </c>
      <c r="AH2" t="str">
        <f>INDEX('5_Calc_ISIC_aggregation'!$C$85:$C$126, MATCH(AH$1, '5_Calc_ISIC_aggregation'!$A$85:$A$126, 0))</f>
      </c>
      <c r="AI2" t="str">
        <f>INDEX('5_Calc_ISIC_aggregation'!$C$85:$C$126, MATCH(AI$1, '5_Calc_ISIC_aggregation'!$A$85:$A$126, 0))</f>
      </c>
      <c r="AJ2" t="str">
        <f>INDEX('5_Calc_ISIC_aggregation'!$C$85:$C$126, MATCH(AJ$1, '5_Calc_ISIC_aggregation'!$A$85:$A$126, 0))</f>
      </c>
      <c r="AK2" t="str">
        <f>INDEX('5_Calc_ISIC_aggregation'!$C$85:$C$126, MATCH(AK$1, '5_Calc_ISIC_aggregation'!$A$85:$A$126, 0))</f>
      </c>
      <c r="AL2" t="str">
        <f>INDEX('5_Calc_ISIC_aggregation'!$C$85:$C$126, MATCH(AL$1, '5_Calc_ISIC_aggregation'!$A$85:$A$126, 0))</f>
      </c>
      <c r="AM2" t="str">
        <f>INDEX('5_Calc_ISIC_aggregation'!$C$85:$C$126, MATCH(AM$1, '5_Calc_ISIC_aggregation'!$A$85:$A$126, 0))</f>
      </c>
      <c r="AN2" t="str">
        <f>INDEX('5_Calc_ISIC_aggregation'!$C$85:$C$126, MATCH(AN$1, '5_Calc_ISIC_aggregation'!$A$85:$A$126, 0))</f>
      </c>
      <c r="AO2" t="str">
        <f>INDEX('5_Calc_ISIC_aggregation'!$C$85:$C$126, MATCH(AO$1, '5_Calc_ISIC_aggregation'!$A$85:$A$126, 0))</f>
      </c>
      <c r="AP2" t="str">
        <f>INDEX('5_Calc_ISIC_aggregation'!$C$85:$C$126, MATCH(AP$1, '5_Calc_ISIC_aggregation'!$A$85:$A$126, 0))</f>
      </c>
      <c r="AQ2" t="str">
        <f>INDEX('5_Calc_ISIC_aggregation'!$C$85:$C$126, MATCH(AQ$1, '5_Calc_ISIC_aggregation'!$A$85:$A$126, 0))</f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2026-07-17T19:21:20Z</dcterms:created>
</coreProperties>
</file>